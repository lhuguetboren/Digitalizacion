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RA2/"/>
    </mc:Choice>
  </mc:AlternateContent>
  <xr:revisionPtr revIDLastSave="0" documentId="8_{979CBFF2-8DC6-4425-81B8-7561EA907B88}" xr6:coauthVersionLast="47" xr6:coauthVersionMax="47" xr10:uidLastSave="{00000000-0000-0000-0000-000000000000}"/>
  <bookViews>
    <workbookView xWindow="-110" yWindow="-110" windowWidth="19420" windowHeight="10300" tabRatio="807" xr2:uid="{00000000-000D-0000-FFFF-FFFF00000000}"/>
  </bookViews>
  <sheets>
    <sheet name="lists" sheetId="1" r:id="rId1"/>
    <sheet name="sales_orders" sheetId="2" r:id="rId2"/>
    <sheet name="sales_order_lines" sheetId="3" r:id="rId3"/>
    <sheet name="plant_output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</calcChain>
</file>

<file path=xl/sharedStrings.xml><?xml version="1.0" encoding="utf-8"?>
<sst xmlns="http://schemas.openxmlformats.org/spreadsheetml/2006/main" count="1965" uniqueCount="573">
  <si>
    <t>currencies</t>
  </si>
  <si>
    <t>incoterms</t>
  </si>
  <si>
    <t>shipment_mode</t>
  </si>
  <si>
    <t>uom</t>
  </si>
  <si>
    <t>so_status</t>
  </si>
  <si>
    <t>shipment_status</t>
  </si>
  <si>
    <t>party_ids</t>
  </si>
  <si>
    <t>port_ids</t>
  </si>
  <si>
    <t>warehouse_ids</t>
  </si>
  <si>
    <t>plant_ids</t>
  </si>
  <si>
    <t>item_ids</t>
  </si>
  <si>
    <t>EUR</t>
  </si>
  <si>
    <t>USD</t>
  </si>
  <si>
    <t>GBP</t>
  </si>
  <si>
    <t>EXW</t>
  </si>
  <si>
    <t>FCA</t>
  </si>
  <si>
    <t>FOB</t>
  </si>
  <si>
    <t>CFR</t>
  </si>
  <si>
    <t>CIF</t>
  </si>
  <si>
    <t>DAP</t>
  </si>
  <si>
    <t>DDP</t>
  </si>
  <si>
    <t>SEA</t>
  </si>
  <si>
    <t>AIR</t>
  </si>
  <si>
    <t>ROAD</t>
  </si>
  <si>
    <t>RAIL</t>
  </si>
  <si>
    <t>EA</t>
  </si>
  <si>
    <t>KG</t>
  </si>
  <si>
    <t>L</t>
  </si>
  <si>
    <t>PAL</t>
  </si>
  <si>
    <t>draft</t>
  </si>
  <si>
    <t>confirmed</t>
  </si>
  <si>
    <t>fulfilled</t>
  </si>
  <si>
    <t>cancelled</t>
  </si>
  <si>
    <t>planned</t>
  </si>
  <si>
    <t>in_transit</t>
  </si>
  <si>
    <t>arrived</t>
  </si>
  <si>
    <t>delivered</t>
  </si>
  <si>
    <t>PR-01</t>
  </si>
  <si>
    <t>WH-01</t>
  </si>
  <si>
    <t>PL-01</t>
  </si>
  <si>
    <t>IT-01</t>
  </si>
  <si>
    <t>id</t>
  </si>
  <si>
    <t>customer_id</t>
  </si>
  <si>
    <t>incoterm</t>
  </si>
  <si>
    <t>currency</t>
  </si>
  <si>
    <t>status</t>
  </si>
  <si>
    <t>order_date</t>
  </si>
  <si>
    <t>requested_date</t>
  </si>
  <si>
    <t>promised_date</t>
  </si>
  <si>
    <t>SO-0001</t>
  </si>
  <si>
    <t>SO-0002</t>
  </si>
  <si>
    <t>SO-0003</t>
  </si>
  <si>
    <t>SO-0004</t>
  </si>
  <si>
    <t>SO-0005</t>
  </si>
  <si>
    <t>SO-0006</t>
  </si>
  <si>
    <t>SO-0007</t>
  </si>
  <si>
    <t>SO-0008</t>
  </si>
  <si>
    <t>SO-0009</t>
  </si>
  <si>
    <t>SO-0010</t>
  </si>
  <si>
    <t>SO-0011</t>
  </si>
  <si>
    <t>SO-0012</t>
  </si>
  <si>
    <t>SO-0013</t>
  </si>
  <si>
    <t>SO-0014</t>
  </si>
  <si>
    <t>SO-0015</t>
  </si>
  <si>
    <t>SO-0016</t>
  </si>
  <si>
    <t>SO-0017</t>
  </si>
  <si>
    <t>SO-0018</t>
  </si>
  <si>
    <t>SO-0019</t>
  </si>
  <si>
    <t>SO-0020</t>
  </si>
  <si>
    <t>SO-0021</t>
  </si>
  <si>
    <t>SO-0022</t>
  </si>
  <si>
    <t>SO-0023</t>
  </si>
  <si>
    <t>SO-0024</t>
  </si>
  <si>
    <t>SO-0025</t>
  </si>
  <si>
    <t>SO-0026</t>
  </si>
  <si>
    <t>SO-0027</t>
  </si>
  <si>
    <t>SO-0028</t>
  </si>
  <si>
    <t>SO-0029</t>
  </si>
  <si>
    <t>SO-0030</t>
  </si>
  <si>
    <t>SO-0031</t>
  </si>
  <si>
    <t>SO-0032</t>
  </si>
  <si>
    <t>SO-0033</t>
  </si>
  <si>
    <t>SO-0034</t>
  </si>
  <si>
    <t>SO-0035</t>
  </si>
  <si>
    <t>SO-0036</t>
  </si>
  <si>
    <t>SO-0037</t>
  </si>
  <si>
    <t>SO-0038</t>
  </si>
  <si>
    <t>SO-0039</t>
  </si>
  <si>
    <t>SO-0040</t>
  </si>
  <si>
    <t>SO-0041</t>
  </si>
  <si>
    <t>SO-0042</t>
  </si>
  <si>
    <t>SO-0043</t>
  </si>
  <si>
    <t>SO-0044</t>
  </si>
  <si>
    <t>SO-0045</t>
  </si>
  <si>
    <t>SO-0046</t>
  </si>
  <si>
    <t>SO-0047</t>
  </si>
  <si>
    <t>SO-0048</t>
  </si>
  <si>
    <t>SO-0049</t>
  </si>
  <si>
    <t>SO-0050</t>
  </si>
  <si>
    <t>SO-0051</t>
  </si>
  <si>
    <t>SO-0052</t>
  </si>
  <si>
    <t>SO-0053</t>
  </si>
  <si>
    <t>SO-0054</t>
  </si>
  <si>
    <t>SO-0055</t>
  </si>
  <si>
    <t>SO-0056</t>
  </si>
  <si>
    <t>SO-0057</t>
  </si>
  <si>
    <t>SO-0058</t>
  </si>
  <si>
    <t>SO-0059</t>
  </si>
  <si>
    <t>SO-0060</t>
  </si>
  <si>
    <t>PT-016</t>
  </si>
  <si>
    <t>PT-017</t>
  </si>
  <si>
    <t>PT-014</t>
  </si>
  <si>
    <t>PT-019</t>
  </si>
  <si>
    <t>PT-012</t>
  </si>
  <si>
    <t>PT-021</t>
  </si>
  <si>
    <t>PT-030</t>
  </si>
  <si>
    <t>PT-011</t>
  </si>
  <si>
    <t>PT-018</t>
  </si>
  <si>
    <t>PT-024</t>
  </si>
  <si>
    <t>PT-013</t>
  </si>
  <si>
    <t>PT-001</t>
  </si>
  <si>
    <t>PT-005</t>
  </si>
  <si>
    <t>PT-027</t>
  </si>
  <si>
    <t>PT-010</t>
  </si>
  <si>
    <t>PT-020</t>
  </si>
  <si>
    <t>PT-007</t>
  </si>
  <si>
    <t>PT-008</t>
  </si>
  <si>
    <t>PT-004</t>
  </si>
  <si>
    <t>PT-025</t>
  </si>
  <si>
    <t>PT-015</t>
  </si>
  <si>
    <t>PT-029</t>
  </si>
  <si>
    <t>PT-022</t>
  </si>
  <si>
    <t>PT-003</t>
  </si>
  <si>
    <t>PT-002</t>
  </si>
  <si>
    <t>2025-09-17</t>
  </si>
  <si>
    <t>2025-09-09</t>
  </si>
  <si>
    <t>2025-09-01</t>
  </si>
  <si>
    <t>2025-09-02</t>
  </si>
  <si>
    <t>2025-09-13</t>
  </si>
  <si>
    <t>2025-09-19</t>
  </si>
  <si>
    <t>2025-09-12</t>
  </si>
  <si>
    <t>2025-09-05</t>
  </si>
  <si>
    <t>2025-09-04</t>
  </si>
  <si>
    <t>2025-09-21</t>
  </si>
  <si>
    <t>2025-09-07</t>
  </si>
  <si>
    <t>2025-09-08</t>
  </si>
  <si>
    <t>2025-09-20</t>
  </si>
  <si>
    <t>2025-09-14</t>
  </si>
  <si>
    <t>2025-09-03</t>
  </si>
  <si>
    <t>2025-09-15</t>
  </si>
  <si>
    <t>2025-09-06</t>
  </si>
  <si>
    <t>2025-09-11</t>
  </si>
  <si>
    <t>2025-09-16</t>
  </si>
  <si>
    <t>2025-09-10</t>
  </si>
  <si>
    <t>2025-09-22</t>
  </si>
  <si>
    <t>2025-09-18</t>
  </si>
  <si>
    <t>2025-09-24</t>
  </si>
  <si>
    <t>2025-09-26</t>
  </si>
  <si>
    <t>2025-09-25</t>
  </si>
  <si>
    <t>2025-09-28</t>
  </si>
  <si>
    <t>2025-09-27</t>
  </si>
  <si>
    <t>2025-09-23</t>
  </si>
  <si>
    <t>so_id</t>
  </si>
  <si>
    <t>line_no</t>
  </si>
  <si>
    <t>item_id</t>
  </si>
  <si>
    <t>qty</t>
  </si>
  <si>
    <t>unit_price</t>
  </si>
  <si>
    <t>IT-03</t>
  </si>
  <si>
    <t>IT-02</t>
  </si>
  <si>
    <t>PR-02</t>
  </si>
  <si>
    <t>PR-04</t>
  </si>
  <si>
    <t>PR-03</t>
  </si>
  <si>
    <t>2025-09-30</t>
  </si>
  <si>
    <t>2025-09-29</t>
  </si>
  <si>
    <t>output_date</t>
  </si>
  <si>
    <t>plant_id</t>
  </si>
  <si>
    <t>batch</t>
  </si>
  <si>
    <t>PO-0001</t>
  </si>
  <si>
    <t>PO-0002</t>
  </si>
  <si>
    <t>PO-0003</t>
  </si>
  <si>
    <t>PO-0004</t>
  </si>
  <si>
    <t>PO-0005</t>
  </si>
  <si>
    <t>PO-0006</t>
  </si>
  <si>
    <t>PO-0007</t>
  </si>
  <si>
    <t>PO-0008</t>
  </si>
  <si>
    <t>PO-0009</t>
  </si>
  <si>
    <t>PO-0010</t>
  </si>
  <si>
    <t>PO-0011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</si>
  <si>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</si>
  <si>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</si>
  <si>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</si>
  <si>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</si>
  <si>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</si>
  <si>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</si>
  <si>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</si>
  <si>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</si>
  <si>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</si>
  <si>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</si>
  <si>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</si>
  <si>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</si>
  <si>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</si>
  <si>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</si>
  <si>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</si>
  <si>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PO-0027</t>
  </si>
  <si>
    <t>PO-0028</t>
  </si>
  <si>
    <t>PO-0029</t>
  </si>
  <si>
    <t>PO-0030</t>
  </si>
  <si>
    <t>PO-0031</t>
  </si>
  <si>
    <t>PO-0032</t>
  </si>
  <si>
    <t>PO-0033</t>
  </si>
  <si>
    <t>PO-0034</t>
  </si>
  <si>
    <t>PO-0035</t>
  </si>
  <si>
    <t>PO-0036</t>
  </si>
  <si>
    <t>PO-0037</t>
  </si>
  <si>
    <t>PO-0038</t>
  </si>
  <si>
    <t>PO-0039</t>
  </si>
  <si>
    <t>PO-0040</t>
  </si>
  <si>
    <t>PO-0041</t>
  </si>
  <si>
    <t>PO-0042</t>
  </si>
  <si>
    <t>PO-0043</t>
  </si>
  <si>
    <t>PO-0044</t>
  </si>
  <si>
    <t>PO-0045</t>
  </si>
  <si>
    <t>PO-0046</t>
  </si>
  <si>
    <t>PO-0047</t>
  </si>
  <si>
    <t>PO-0048</t>
  </si>
  <si>
    <t>PO-0049</t>
  </si>
  <si>
    <t>PO-0050</t>
  </si>
  <si>
    <t>PO-0051</t>
  </si>
  <si>
    <t>PO-0052</t>
  </si>
  <si>
    <t>PO-0053</t>
  </si>
  <si>
    <t>PO-0054</t>
  </si>
  <si>
    <t>PO-0055</t>
  </si>
  <si>
    <t>PO-0056</t>
  </si>
  <si>
    <t>PO-0057</t>
  </si>
  <si>
    <t>PO-0058</t>
  </si>
  <si>
    <t>PO-0059</t>
  </si>
  <si>
    <t>PO-0060</t>
  </si>
  <si>
    <t>PO-0061</t>
  </si>
  <si>
    <t>PO-0062</t>
  </si>
  <si>
    <t>PO-0063</t>
  </si>
  <si>
    <t>PO-0064</t>
  </si>
  <si>
    <t>PO-0065</t>
  </si>
  <si>
    <t>PO-0066</t>
  </si>
  <si>
    <t>PO-0067</t>
  </si>
  <si>
    <t>PO-0068</t>
  </si>
  <si>
    <t>PO-0069</t>
  </si>
  <si>
    <t>PO-0070</t>
  </si>
  <si>
    <t>PO-0071</t>
  </si>
  <si>
    <t>PO-0072</t>
  </si>
  <si>
    <t>PO-0073</t>
  </si>
  <si>
    <t>PO-0074</t>
  </si>
  <si>
    <t>PO-0075</t>
  </si>
  <si>
    <t>PO-0076</t>
  </si>
  <si>
    <t>PO-0077</t>
  </si>
  <si>
    <t>PO-0078</t>
  </si>
  <si>
    <t>PO-0079</t>
  </si>
  <si>
    <t>PO-0080</t>
  </si>
  <si>
    <t>PO-0081</t>
  </si>
  <si>
    <t>PO-0082</t>
  </si>
  <si>
    <t>PO-0083</t>
  </si>
  <si>
    <t>PO-0084</t>
  </si>
  <si>
    <t>PO-0085</t>
  </si>
  <si>
    <t>PO-0086</t>
  </si>
  <si>
    <t>PO-0087</t>
  </si>
  <si>
    <t>PO-0088</t>
  </si>
  <si>
    <t>PO-0089</t>
  </si>
  <si>
    <t>PO-0090</t>
  </si>
  <si>
    <t>PO-0091</t>
  </si>
  <si>
    <t>PO-0092</t>
  </si>
  <si>
    <t>PO-0093</t>
  </si>
  <si>
    <t>PO-0094</t>
  </si>
  <si>
    <t>PO-0095</t>
  </si>
  <si>
    <t>PO-0096</t>
  </si>
  <si>
    <t>PO-0097</t>
  </si>
  <si>
    <t>PO-0098</t>
  </si>
  <si>
    <t>PO-0099</t>
  </si>
  <si>
    <t>PO-0100</t>
  </si>
  <si>
    <t>PO-0101</t>
  </si>
  <si>
    <t>PO-0102</t>
  </si>
  <si>
    <t>PO-0103</t>
  </si>
  <si>
    <t>PO-0104</t>
  </si>
  <si>
    <t>PO-0105</t>
  </si>
  <si>
    <t>PO-0106</t>
  </si>
  <si>
    <t>PO-0107</t>
  </si>
  <si>
    <t>PO-0108</t>
  </si>
  <si>
    <t>PO-0109</t>
  </si>
  <si>
    <t>PO-0110</t>
  </si>
  <si>
    <t>PO-0111</t>
  </si>
  <si>
    <t>PO-0112</t>
  </si>
  <si>
    <t>PO-0113</t>
  </si>
  <si>
    <t>PO-0114</t>
  </si>
  <si>
    <t>PO-0115</t>
  </si>
  <si>
    <t>PO-0116</t>
  </si>
  <si>
    <t>PO-0117</t>
  </si>
  <si>
    <t>PO-0118</t>
  </si>
  <si>
    <t>PO-0119</t>
  </si>
  <si>
    <t>PO-0120</t>
  </si>
  <si>
    <t>PO-0121</t>
  </si>
  <si>
    <t>PO-0122</t>
  </si>
  <si>
    <t>PO-0123</t>
  </si>
  <si>
    <t>PO-0124</t>
  </si>
  <si>
    <t>PO-0125</t>
  </si>
  <si>
    <t>PO-0126</t>
  </si>
  <si>
    <t>PO-0127</t>
  </si>
  <si>
    <t>PO-0128</t>
  </si>
  <si>
    <t>PO-0129</t>
  </si>
  <si>
    <t>PO-0130</t>
  </si>
  <si>
    <t>PO-0131</t>
  </si>
  <si>
    <t>PO-0132</t>
  </si>
  <si>
    <t>PO-0133</t>
  </si>
  <si>
    <t>PO-0134</t>
  </si>
  <si>
    <t>PO-0135</t>
  </si>
  <si>
    <t>PO-0136</t>
  </si>
  <si>
    <t>PO-0137</t>
  </si>
  <si>
    <t>PO-0138</t>
  </si>
  <si>
    <t>PO-0139</t>
  </si>
  <si>
    <t>PO-0140</t>
  </si>
  <si>
    <t>PO-0141</t>
  </si>
  <si>
    <t>PO-0142</t>
  </si>
  <si>
    <t>PO-0143</t>
  </si>
  <si>
    <t>PO-0144</t>
  </si>
  <si>
    <t>PO-0145</t>
  </si>
  <si>
    <t>PO-0146</t>
  </si>
  <si>
    <t>PO-0147</t>
  </si>
  <si>
    <t>PO-0148</t>
  </si>
  <si>
    <t>PO-0149</t>
  </si>
  <si>
    <t>PO-0150</t>
  </si>
  <si>
    <t>PO-0151</t>
  </si>
  <si>
    <t>PO-0152</t>
  </si>
  <si>
    <t>PO-0153</t>
  </si>
  <si>
    <t>PO-0154</t>
  </si>
  <si>
    <t>PO-0155</t>
  </si>
  <si>
    <t>PO-0156</t>
  </si>
  <si>
    <t>PO-0157</t>
  </si>
  <si>
    <t>PO-0158</t>
  </si>
  <si>
    <t>PO-0159</t>
  </si>
  <si>
    <t>PO-0160</t>
  </si>
  <si>
    <t>PO-0161</t>
  </si>
  <si>
    <t>PO-0162</t>
  </si>
  <si>
    <t>PO-0163</t>
  </si>
  <si>
    <t>PO-0164</t>
  </si>
  <si>
    <t>PO-0165</t>
  </si>
  <si>
    <t>PO-0166</t>
  </si>
  <si>
    <t>PO-0167</t>
  </si>
  <si>
    <t>PO-0168</t>
  </si>
  <si>
    <t>PO-0169</t>
  </si>
  <si>
    <t>PO-0170</t>
  </si>
  <si>
    <t>PO-0171</t>
  </si>
  <si>
    <t>PO-0172</t>
  </si>
  <si>
    <t>PO-0173</t>
  </si>
  <si>
    <t>PO-0174</t>
  </si>
  <si>
    <t>PO-0175</t>
  </si>
  <si>
    <t>PO-0176</t>
  </si>
  <si>
    <t>PO-0177</t>
  </si>
  <si>
    <t>PO-0178</t>
  </si>
  <si>
    <t>PO-0179</t>
  </si>
  <si>
    <t>PO-0180</t>
  </si>
  <si>
    <t>PL-02</t>
  </si>
  <si>
    <t>B-a5c720</t>
  </si>
  <si>
    <t>B-31af18</t>
  </si>
  <si>
    <t>B-a0b009</t>
  </si>
  <si>
    <t>B-0adab0</t>
  </si>
  <si>
    <t>B-852399</t>
  </si>
  <si>
    <t>B-d3e748</t>
  </si>
  <si>
    <t>B-35398b</t>
  </si>
  <si>
    <t>B-2da2e5</t>
  </si>
  <si>
    <t>B-accfee</t>
  </si>
  <si>
    <t>B-b0209d</t>
  </si>
  <si>
    <t>B-b4dc62</t>
  </si>
  <si>
    <t>B-61b45d</t>
  </si>
  <si>
    <t>B-677d22</t>
  </si>
  <si>
    <t>B-0d46f4</t>
  </si>
  <si>
    <t>B-6adb15</t>
  </si>
  <si>
    <t>B-6f26f7</t>
  </si>
  <si>
    <t>B-d0713c</t>
  </si>
  <si>
    <t>B-9af998</t>
  </si>
  <si>
    <t>B-868514</t>
  </si>
  <si>
    <t>B-8d76f5</t>
  </si>
  <si>
    <t>B-74b341</t>
  </si>
  <si>
    <t>B-38f562</t>
  </si>
  <si>
    <t>B-355ff8</t>
  </si>
  <si>
    <t>B-ed44e8</t>
  </si>
  <si>
    <t>B-955eb8</t>
  </si>
  <si>
    <t>B-2d4e3e</t>
  </si>
  <si>
    <t>B-70278d</t>
  </si>
  <si>
    <t>B-c97f28</t>
  </si>
  <si>
    <t>B-d3d53b</t>
  </si>
  <si>
    <t>B-632a8d</t>
  </si>
  <si>
    <t>B-d7d3e2</t>
  </si>
  <si>
    <t>B-4be52b</t>
  </si>
  <si>
    <t>B-a37853</t>
  </si>
  <si>
    <t>B-4cd07e</t>
  </si>
  <si>
    <t>B-cfca8d</t>
  </si>
  <si>
    <t>B-17ebcb</t>
  </si>
  <si>
    <t>B-5be7ba</t>
  </si>
  <si>
    <t>B-7de1dc</t>
  </si>
  <si>
    <t>B-4f794f</t>
  </si>
  <si>
    <t>B-a00ed2</t>
  </si>
  <si>
    <t>B-c96d4c</t>
  </si>
  <si>
    <t>B-c46d8c</t>
  </si>
  <si>
    <t>B-53c67f</t>
  </si>
  <si>
    <t>B-87acfd</t>
  </si>
  <si>
    <t>B-d02951</t>
  </si>
  <si>
    <t>B-692dac</t>
  </si>
  <si>
    <t>B-4004c4</t>
  </si>
  <si>
    <t>B-770cdb</t>
  </si>
  <si>
    <t>B-c12d75</t>
  </si>
  <si>
    <t>B-b41637</t>
  </si>
  <si>
    <t>B-4814b1</t>
  </si>
  <si>
    <t>B-04906a</t>
  </si>
  <si>
    <t>B-5630f9</t>
  </si>
  <si>
    <t>B-849c17</t>
  </si>
  <si>
    <t>B-50510f</t>
  </si>
  <si>
    <t>B-40ea8f</t>
  </si>
  <si>
    <t>B-0bd4ad</t>
  </si>
  <si>
    <t>B-588f52</t>
  </si>
  <si>
    <t>B-c5a38c</t>
  </si>
  <si>
    <t>B-ec3f2e</t>
  </si>
  <si>
    <t>B-f2d8ea</t>
  </si>
  <si>
    <t>B-3d1042</t>
  </si>
  <si>
    <t>B-87c129</t>
  </si>
  <si>
    <t>B-01ffb6</t>
  </si>
  <si>
    <t>B-9566d4</t>
  </si>
  <si>
    <t>B-203dec</t>
  </si>
  <si>
    <t>B-e4c7b6</t>
  </si>
  <si>
    <t>B-a33e95</t>
  </si>
  <si>
    <t>B-54ea38</t>
  </si>
  <si>
    <t>B-850c4c</t>
  </si>
  <si>
    <t>B-bd8f02</t>
  </si>
  <si>
    <t>B-6e6bd9</t>
  </si>
  <si>
    <t>B-4b46aa</t>
  </si>
  <si>
    <t>B-38f715</t>
  </si>
  <si>
    <t>B-1e6f6d</t>
  </si>
  <si>
    <t>B-8b10d2</t>
  </si>
  <si>
    <t>B-8bbfc6</t>
  </si>
  <si>
    <t>B-1d75ff</t>
  </si>
  <si>
    <t>B-d2e774</t>
  </si>
  <si>
    <t>B-998d22</t>
  </si>
  <si>
    <t>B-eeee08</t>
  </si>
  <si>
    <t>B-f76565</t>
  </si>
  <si>
    <t>B-27a563</t>
  </si>
  <si>
    <t>B-5a69db</t>
  </si>
  <si>
    <t>B-fef444</t>
  </si>
  <si>
    <t>B-dbca12</t>
  </si>
  <si>
    <t>B-c8d613</t>
  </si>
  <si>
    <t>B-5c8aa9</t>
  </si>
  <si>
    <t>B-0a1562</t>
  </si>
  <si>
    <t>B-577f61</t>
  </si>
  <si>
    <t>B-c49b11</t>
  </si>
  <si>
    <t>B-5c7e7a</t>
  </si>
  <si>
    <t>B-b92814</t>
  </si>
  <si>
    <t>B-982b15</t>
  </si>
  <si>
    <t>B-f23ef0</t>
  </si>
  <si>
    <t>B-096a66</t>
  </si>
  <si>
    <t>B-b5f792</t>
  </si>
  <si>
    <t>B-1cc95f</t>
  </si>
  <si>
    <t>B-0116b0</t>
  </si>
  <si>
    <t>B-56785a</t>
  </si>
  <si>
    <t>B-62ba61</t>
  </si>
  <si>
    <t>B-eef448</t>
  </si>
  <si>
    <t>B-cd31e7</t>
  </si>
  <si>
    <t>B-f2367f</t>
  </si>
  <si>
    <t>B-c86471</t>
  </si>
  <si>
    <t>B-15ded2</t>
  </si>
  <si>
    <t>B-dc31a4</t>
  </si>
  <si>
    <t>B-d0ef64</t>
  </si>
  <si>
    <t>B-d50659</t>
  </si>
  <si>
    <t>B-308b60</t>
  </si>
  <si>
    <t>B-a363b8</t>
  </si>
  <si>
    <t>B-f36993</t>
  </si>
  <si>
    <t>B-f56ce2</t>
  </si>
  <si>
    <t>B-ec124f</t>
  </si>
  <si>
    <t>B-3b3676</t>
  </si>
  <si>
    <t>B-02b97b</t>
  </si>
  <si>
    <t>B-7b0336</t>
  </si>
  <si>
    <t>B-d4913c</t>
  </si>
  <si>
    <t>B-864fdb</t>
  </si>
  <si>
    <t>B-5ae9c1</t>
  </si>
  <si>
    <t>B-650eb3</t>
  </si>
  <si>
    <t>B-3e4fd0</t>
  </si>
  <si>
    <t>B-d2cfd8</t>
  </si>
  <si>
    <t>B-3948e6</t>
  </si>
  <si>
    <t>B-f6b298</t>
  </si>
  <si>
    <t>B-dd2e9d</t>
  </si>
  <si>
    <t>B-6ebd55</t>
  </si>
  <si>
    <t>B-776f49</t>
  </si>
  <si>
    <t>B-9fd25e</t>
  </si>
  <si>
    <t>B-1fa86d</t>
  </si>
  <si>
    <t>B-9ed4eb</t>
  </si>
  <si>
    <t>B-2993a7</t>
  </si>
  <si>
    <t>B-575f9d</t>
  </si>
  <si>
    <t>B-e793e4</t>
  </si>
  <si>
    <t>B-5bd0e9</t>
  </si>
  <si>
    <t>B-47616b</t>
  </si>
  <si>
    <t>B-4af263</t>
  </si>
  <si>
    <t>B-b756c0</t>
  </si>
  <si>
    <t>B-7078ff</t>
  </si>
  <si>
    <t>B-41d7e8</t>
  </si>
  <si>
    <t>B-acf702</t>
  </si>
  <si>
    <t>B-e57477</t>
  </si>
  <si>
    <t>B-7f1189</t>
  </si>
  <si>
    <t>B-e2aa03</t>
  </si>
  <si>
    <t>B-79ccfc</t>
  </si>
  <si>
    <t>B-64ea98</t>
  </si>
  <si>
    <t>B-a936ff</t>
  </si>
  <si>
    <t>B-4035eb</t>
  </si>
  <si>
    <t>B-3e15ba</t>
  </si>
  <si>
    <t>B-e271fc</t>
  </si>
  <si>
    <t>B-17d675</t>
  </si>
  <si>
    <t>B-ef2a66</t>
  </si>
  <si>
    <t>B-7ede2e</t>
  </si>
  <si>
    <t>B-058b2c</t>
  </si>
  <si>
    <t>B-634bd1</t>
  </si>
  <si>
    <t>B-af4fa3</t>
  </si>
  <si>
    <t>B-051d96</t>
  </si>
  <si>
    <t>B-27d0a5</t>
  </si>
  <si>
    <t>B-957473</t>
  </si>
  <si>
    <t>B-69714d</t>
  </si>
  <si>
    <t>B-e7372b</t>
  </si>
  <si>
    <t>B-00e813</t>
  </si>
  <si>
    <t>B-f6c1c0</t>
  </si>
  <si>
    <t>B-281720</t>
  </si>
  <si>
    <t>B-8fcb87</t>
  </si>
  <si>
    <t>B-5eb128</t>
  </si>
  <si>
    <t>B-a4e383</t>
  </si>
  <si>
    <t>B-2ed170</t>
  </si>
  <si>
    <t>B-c732f5</t>
  </si>
  <si>
    <t>B-bc7ba8</t>
  </si>
  <si>
    <t>B-0599c7</t>
  </si>
  <si>
    <t>B-6480d3</t>
  </si>
  <si>
    <t>B-ee13b9</t>
  </si>
  <si>
    <t>B-263808</t>
  </si>
  <si>
    <t>B-70633e</t>
  </si>
  <si>
    <t>B-263181</t>
  </si>
  <si>
    <t>B-d601a6</t>
  </si>
  <si>
    <t>B-8d15fc</t>
  </si>
  <si>
    <t>B-5f2a2f</t>
  </si>
  <si>
    <t>B-1cde49</t>
  </si>
  <si>
    <t>PT-006</t>
  </si>
  <si>
    <t>PT-009</t>
  </si>
  <si>
    <t>PT-023</t>
  </si>
  <si>
    <t>PT-026</t>
  </si>
  <si>
    <t>PT-028</t>
  </si>
  <si>
    <t>country</t>
  </si>
  <si>
    <t>city</t>
  </si>
  <si>
    <t>DE</t>
  </si>
  <si>
    <t>ciudad1</t>
  </si>
  <si>
    <t>ciudad3</t>
  </si>
  <si>
    <t>ciudad4</t>
  </si>
  <si>
    <t>FR</t>
  </si>
  <si>
    <t>ciudad5</t>
  </si>
  <si>
    <t>ciudad7</t>
  </si>
  <si>
    <t>IT</t>
  </si>
  <si>
    <t>ciudad9</t>
  </si>
  <si>
    <t>ciudad12</t>
  </si>
  <si>
    <t>ciudad13</t>
  </si>
  <si>
    <t>ciudad14</t>
  </si>
  <si>
    <t>SW</t>
  </si>
  <si>
    <t>ciudad15</t>
  </si>
  <si>
    <t>ESP</t>
  </si>
  <si>
    <t>ciudad19</t>
  </si>
  <si>
    <t>ciudad20</t>
  </si>
  <si>
    <t>ciudad21</t>
  </si>
  <si>
    <t>ciudad22</t>
  </si>
  <si>
    <t>ciudad23</t>
  </si>
  <si>
    <t>ciudad24</t>
  </si>
  <si>
    <t>ciudad25</t>
  </si>
  <si>
    <t>ciudad26</t>
  </si>
  <si>
    <t>PT</t>
  </si>
  <si>
    <t>ciudad27</t>
  </si>
  <si>
    <t>ciudad29</t>
  </si>
  <si>
    <t>Columna1</t>
  </si>
  <si>
    <t>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</si>
</sst>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sts" displayName="Tbl_lists" ref="A1:M1048576" totalsRowShown="0">
  <autoFilter ref="A1:M1048576" xr:uid="{00000000-0009-0000-0100-000001000000}"/>
  <tableColumns count="13">
    <tableColumn id="1" xr3:uid="{00000000-0010-0000-0000-000001000000}" name="currencies"/>
    <tableColumn id="2" xr3:uid="{00000000-0010-0000-0000-000002000000}" name="incoterms"/>
    <tableColumn id="3" xr3:uid="{00000000-0010-0000-0000-000003000000}" name="shipment_mode"/>
    <tableColumn id="4" xr3:uid="{00000000-0010-0000-0000-000004000000}" name="uom"/>
    <tableColumn id="5" xr3:uid="{00000000-0010-0000-0000-000005000000}" name="so_status"/>
    <tableColumn id="6" xr3:uid="{00000000-0010-0000-0000-000006000000}" name="shipment_status"/>
    <tableColumn id="7" xr3:uid="{00000000-0010-0000-0000-000007000000}" name="party_ids"/>
    <tableColumn id="12" xr3:uid="{19E3492C-D160-4228-B57C-2CF7B518A01D}" name="country"/>
    <tableColumn id="13" xr3:uid="{B58FC680-B190-434C-BAF0-0893A462DB42}" name="city"/>
    <tableColumn id="8" xr3:uid="{00000000-0010-0000-0000-000008000000}" name="port_ids"/>
    <tableColumn id="9" xr3:uid="{00000000-0010-0000-0000-000009000000}" name="warehouse_ids"/>
    <tableColumn id="10" xr3:uid="{00000000-0010-0000-0000-00000A000000}" name="plant_ids"/>
    <tableColumn id="11" xr3:uid="{00000000-0010-0000-0000-00000B000000}" name="item_id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ales_orders" displayName="Tbl_sales_orders" ref="A1:H61" totalsRowShown="0">
  <autoFilter ref="A1:H61" xr:uid="{00000000-0009-0000-0100-000002000000}"/>
  <tableColumns count="8">
    <tableColumn id="1" xr3:uid="{00000000-0010-0000-0100-000001000000}" name="id"/>
    <tableColumn id="2" xr3:uid="{00000000-0010-0000-0100-000002000000}" name="customer_id"/>
    <tableColumn id="3" xr3:uid="{00000000-0010-0000-0100-000003000000}" name="incoterm"/>
    <tableColumn id="4" xr3:uid="{00000000-0010-0000-0100-000004000000}" name="currency"/>
    <tableColumn id="5" xr3:uid="{00000000-0010-0000-0100-000005000000}" name="status"/>
    <tableColumn id="6" xr3:uid="{00000000-0010-0000-0100-000006000000}" name="order_date"/>
    <tableColumn id="7" xr3:uid="{00000000-0010-0000-0100-000007000000}" name="requested_date"/>
    <tableColumn id="8" xr3:uid="{00000000-0010-0000-0100-000008000000}" name="promised_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ales_order_lines" displayName="Tbl_sales_order_lines" ref="A1:G61" totalsRowShown="0">
  <autoFilter ref="A1:G61" xr:uid="{00000000-0009-0000-0100-000003000000}"/>
  <sortState xmlns:xlrd2="http://schemas.microsoft.com/office/spreadsheetml/2017/richdata2" ref="A2:G61">
    <sortCondition ref="A1:A61"/>
  </sortState>
  <tableColumns count="7">
    <tableColumn id="1" xr3:uid="{00000000-0010-0000-0200-000001000000}" name="so_id"/>
    <tableColumn id="2" xr3:uid="{00000000-0010-0000-0200-000002000000}" name="line_no"/>
    <tableColumn id="3" xr3:uid="{00000000-0010-0000-0200-000003000000}" name="item_id"/>
    <tableColumn id="4" xr3:uid="{00000000-0010-0000-0200-000004000000}" name="qty"/>
    <tableColumn id="5" xr3:uid="{00000000-0010-0000-0200-000005000000}" name="uom"/>
    <tableColumn id="6" xr3:uid="{00000000-0010-0000-0200-000006000000}" name="unit_price"/>
    <tableColumn id="7" xr3:uid="{00000000-0010-0000-0200-000007000000}" name="curr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lant_outputs" displayName="Tbl_plant_outputs" ref="A1:H181" totalsRowShown="0">
  <autoFilter ref="A1:H181" xr:uid="{00000000-0009-0000-0100-000007000000}"/>
  <tableColumns count="8">
    <tableColumn id="1" xr3:uid="{00000000-0010-0000-0600-000001000000}" name="id"/>
    <tableColumn id="2" xr3:uid="{00000000-0010-0000-0600-000002000000}" name="output_date"/>
    <tableColumn id="3" xr3:uid="{00000000-0010-0000-0600-000003000000}" name="plant_id"/>
    <tableColumn id="4" xr3:uid="{00000000-0010-0000-0600-000004000000}" name="item_id"/>
    <tableColumn id="5" xr3:uid="{00000000-0010-0000-0600-000005000000}" name="qty"/>
    <tableColumn id="6" xr3:uid="{00000000-0010-0000-0600-000006000000}" name="uom"/>
    <tableColumn id="7" xr3:uid="{00000000-0010-0000-0600-000007000000}" name="batch"/>
    <tableColumn id="8" xr3:uid="{A61C7632-5A63-4F91-B6F5-721E439D5759}" name="Columna1" dataDxfId="0">
      <calculatedColumnFormula>DAY(Tbl_plant_outputs[[#This Row],[output_date]])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ySplit="1" topLeftCell="A2" activePane="bottomLeft" state="frozen"/>
      <selection pane="bottomLeft" activeCell="O2" sqref="O2"/>
    </sheetView>
  </sheetViews>
  <sheetFormatPr baseColWidth="10" defaultColWidth="8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543</v>
      </c>
      <c r="I1" t="s">
        <v>544</v>
      </c>
      <c r="J1" t="s">
        <v>7</v>
      </c>
      <c r="K1" t="s">
        <v>8</v>
      </c>
      <c r="L1" t="s">
        <v>9</v>
      </c>
      <c r="M1" t="s">
        <v>10</v>
      </c>
    </row>
    <row r="2" spans="1:15" x14ac:dyDescent="0.35">
      <c r="A2" t="s">
        <v>11</v>
      </c>
      <c r="B2" t="s">
        <v>14</v>
      </c>
      <c r="C2" t="s">
        <v>21</v>
      </c>
      <c r="D2" t="s">
        <v>25</v>
      </c>
      <c r="E2" t="s">
        <v>29</v>
      </c>
      <c r="F2" t="s">
        <v>33</v>
      </c>
      <c r="G2" t="s">
        <v>120</v>
      </c>
      <c r="H2" t="s">
        <v>545</v>
      </c>
      <c r="I2" t="s">
        <v>546</v>
      </c>
      <c r="J2" t="s">
        <v>37</v>
      </c>
      <c r="K2" t="s">
        <v>38</v>
      </c>
      <c r="L2" t="s">
        <v>37</v>
      </c>
      <c r="M2" t="s">
        <v>40</v>
      </c>
      <c r="O2" t="str">
        <f>VLOOKUP(Tbl_lists[[#This Row],[party_ids]],G2:I31,2)</f>
        <v>DE</v>
      </c>
    </row>
    <row r="3" spans="1:15" x14ac:dyDescent="0.35">
      <c r="A3" t="s">
        <v>12</v>
      </c>
      <c r="B3" t="s">
        <v>15</v>
      </c>
      <c r="C3" t="s">
        <v>22</v>
      </c>
      <c r="D3" t="s">
        <v>26</v>
      </c>
      <c r="E3" t="s">
        <v>30</v>
      </c>
      <c r="F3" t="s">
        <v>34</v>
      </c>
      <c r="G3" t="s">
        <v>133</v>
      </c>
      <c r="H3" t="s">
        <v>545</v>
      </c>
      <c r="I3" t="s">
        <v>546</v>
      </c>
      <c r="J3" t="s">
        <v>169</v>
      </c>
      <c r="L3" t="s">
        <v>169</v>
      </c>
      <c r="M3" t="s">
        <v>168</v>
      </c>
    </row>
    <row r="4" spans="1:15" x14ac:dyDescent="0.35">
      <c r="A4" t="s">
        <v>13</v>
      </c>
      <c r="B4" t="s">
        <v>16</v>
      </c>
      <c r="C4" t="s">
        <v>23</v>
      </c>
      <c r="D4" t="s">
        <v>27</v>
      </c>
      <c r="E4" t="s">
        <v>31</v>
      </c>
      <c r="F4" t="s">
        <v>35</v>
      </c>
      <c r="G4" t="s">
        <v>132</v>
      </c>
      <c r="H4" t="s">
        <v>545</v>
      </c>
      <c r="I4" t="s">
        <v>547</v>
      </c>
      <c r="J4" t="s">
        <v>171</v>
      </c>
      <c r="L4" t="s">
        <v>171</v>
      </c>
      <c r="M4" t="s">
        <v>167</v>
      </c>
      <c r="N4" s="1"/>
    </row>
    <row r="5" spans="1:15" x14ac:dyDescent="0.35">
      <c r="B5" t="s">
        <v>17</v>
      </c>
      <c r="C5" t="s">
        <v>24</v>
      </c>
      <c r="D5" t="s">
        <v>28</v>
      </c>
      <c r="E5" t="s">
        <v>32</v>
      </c>
      <c r="F5" t="s">
        <v>36</v>
      </c>
      <c r="G5" t="s">
        <v>127</v>
      </c>
      <c r="H5" t="s">
        <v>545</v>
      </c>
      <c r="I5" t="s">
        <v>548</v>
      </c>
      <c r="J5" t="s">
        <v>170</v>
      </c>
      <c r="L5" t="s">
        <v>170</v>
      </c>
    </row>
    <row r="6" spans="1:15" x14ac:dyDescent="0.35">
      <c r="B6" t="s">
        <v>18</v>
      </c>
      <c r="F6" t="s">
        <v>32</v>
      </c>
      <c r="G6" t="s">
        <v>121</v>
      </c>
      <c r="H6" t="s">
        <v>549</v>
      </c>
      <c r="I6" t="s">
        <v>550</v>
      </c>
    </row>
    <row r="7" spans="1:15" x14ac:dyDescent="0.35">
      <c r="B7" t="s">
        <v>19</v>
      </c>
      <c r="G7" t="s">
        <v>538</v>
      </c>
      <c r="H7" t="s">
        <v>549</v>
      </c>
      <c r="I7" t="s">
        <v>550</v>
      </c>
    </row>
    <row r="8" spans="1:15" x14ac:dyDescent="0.35">
      <c r="B8" t="s">
        <v>20</v>
      </c>
      <c r="G8" t="s">
        <v>125</v>
      </c>
      <c r="H8" t="s">
        <v>549</v>
      </c>
      <c r="I8" t="s">
        <v>551</v>
      </c>
    </row>
    <row r="9" spans="1:15" x14ac:dyDescent="0.35">
      <c r="G9" t="s">
        <v>126</v>
      </c>
      <c r="H9" t="s">
        <v>552</v>
      </c>
      <c r="I9" t="s">
        <v>551</v>
      </c>
    </row>
    <row r="10" spans="1:15" x14ac:dyDescent="0.35">
      <c r="G10" t="s">
        <v>539</v>
      </c>
      <c r="H10" t="s">
        <v>552</v>
      </c>
      <c r="I10" t="s">
        <v>553</v>
      </c>
    </row>
    <row r="11" spans="1:15" x14ac:dyDescent="0.35">
      <c r="G11" t="s">
        <v>123</v>
      </c>
      <c r="H11" t="s">
        <v>552</v>
      </c>
      <c r="I11" t="s">
        <v>553</v>
      </c>
    </row>
    <row r="12" spans="1:15" x14ac:dyDescent="0.35">
      <c r="G12" t="s">
        <v>116</v>
      </c>
      <c r="H12" t="s">
        <v>552</v>
      </c>
      <c r="I12" t="s">
        <v>553</v>
      </c>
    </row>
    <row r="13" spans="1:15" x14ac:dyDescent="0.35">
      <c r="G13" t="s">
        <v>113</v>
      </c>
      <c r="H13" t="s">
        <v>552</v>
      </c>
      <c r="I13" t="s">
        <v>554</v>
      </c>
      <c r="O13" s="1"/>
    </row>
    <row r="14" spans="1:15" x14ac:dyDescent="0.35">
      <c r="G14" t="s">
        <v>119</v>
      </c>
      <c r="H14" t="s">
        <v>552</v>
      </c>
      <c r="I14" t="s">
        <v>555</v>
      </c>
    </row>
    <row r="15" spans="1:15" x14ac:dyDescent="0.35">
      <c r="G15" t="s">
        <v>111</v>
      </c>
      <c r="H15" t="s">
        <v>552</v>
      </c>
      <c r="I15" t="s">
        <v>556</v>
      </c>
    </row>
    <row r="16" spans="1:15" x14ac:dyDescent="0.35">
      <c r="G16" t="s">
        <v>129</v>
      </c>
      <c r="H16" t="s">
        <v>557</v>
      </c>
      <c r="I16" t="s">
        <v>558</v>
      </c>
    </row>
    <row r="17" spans="7:9" x14ac:dyDescent="0.35">
      <c r="G17" t="s">
        <v>109</v>
      </c>
      <c r="H17" t="s">
        <v>557</v>
      </c>
      <c r="I17" t="s">
        <v>558</v>
      </c>
    </row>
    <row r="18" spans="7:9" x14ac:dyDescent="0.35">
      <c r="G18" t="s">
        <v>110</v>
      </c>
      <c r="H18" t="s">
        <v>557</v>
      </c>
      <c r="I18" t="s">
        <v>558</v>
      </c>
    </row>
    <row r="19" spans="7:9" x14ac:dyDescent="0.35">
      <c r="G19" t="s">
        <v>117</v>
      </c>
      <c r="H19" t="s">
        <v>557</v>
      </c>
      <c r="I19" t="s">
        <v>558</v>
      </c>
    </row>
    <row r="20" spans="7:9" x14ac:dyDescent="0.35">
      <c r="G20" t="s">
        <v>112</v>
      </c>
      <c r="H20" t="s">
        <v>559</v>
      </c>
      <c r="I20" t="s">
        <v>560</v>
      </c>
    </row>
    <row r="21" spans="7:9" x14ac:dyDescent="0.35">
      <c r="G21" t="s">
        <v>124</v>
      </c>
      <c r="H21" t="s">
        <v>559</v>
      </c>
      <c r="I21" t="s">
        <v>561</v>
      </c>
    </row>
    <row r="22" spans="7:9" x14ac:dyDescent="0.35">
      <c r="G22" t="s">
        <v>114</v>
      </c>
      <c r="H22" t="s">
        <v>559</v>
      </c>
      <c r="I22" t="s">
        <v>562</v>
      </c>
    </row>
    <row r="23" spans="7:9" x14ac:dyDescent="0.35">
      <c r="G23" t="s">
        <v>131</v>
      </c>
      <c r="H23" t="s">
        <v>559</v>
      </c>
      <c r="I23" t="s">
        <v>563</v>
      </c>
    </row>
    <row r="24" spans="7:9" x14ac:dyDescent="0.35">
      <c r="G24" t="s">
        <v>540</v>
      </c>
      <c r="H24" t="s">
        <v>559</v>
      </c>
      <c r="I24" t="s">
        <v>564</v>
      </c>
    </row>
    <row r="25" spans="7:9" x14ac:dyDescent="0.35">
      <c r="G25" t="s">
        <v>118</v>
      </c>
      <c r="H25" t="s">
        <v>559</v>
      </c>
      <c r="I25" t="s">
        <v>565</v>
      </c>
    </row>
    <row r="26" spans="7:9" x14ac:dyDescent="0.35">
      <c r="G26" t="s">
        <v>128</v>
      </c>
      <c r="H26" t="s">
        <v>559</v>
      </c>
      <c r="I26" t="s">
        <v>566</v>
      </c>
    </row>
    <row r="27" spans="7:9" x14ac:dyDescent="0.35">
      <c r="G27" t="s">
        <v>541</v>
      </c>
      <c r="H27" t="s">
        <v>559</v>
      </c>
      <c r="I27" t="s">
        <v>567</v>
      </c>
    </row>
    <row r="28" spans="7:9" x14ac:dyDescent="0.35">
      <c r="G28" t="s">
        <v>122</v>
      </c>
      <c r="H28" t="s">
        <v>568</v>
      </c>
      <c r="I28" t="s">
        <v>569</v>
      </c>
    </row>
    <row r="29" spans="7:9" x14ac:dyDescent="0.35">
      <c r="G29" t="s">
        <v>542</v>
      </c>
      <c r="H29" t="s">
        <v>568</v>
      </c>
      <c r="I29" t="s">
        <v>569</v>
      </c>
    </row>
    <row r="30" spans="7:9" x14ac:dyDescent="0.35">
      <c r="G30" t="s">
        <v>130</v>
      </c>
      <c r="H30" t="s">
        <v>568</v>
      </c>
      <c r="I30" t="s">
        <v>570</v>
      </c>
    </row>
    <row r="31" spans="7:9" x14ac:dyDescent="0.35">
      <c r="G31" t="s">
        <v>115</v>
      </c>
      <c r="H31" t="s">
        <v>568</v>
      </c>
      <c r="I31" t="s">
        <v>570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1" topLeftCell="A2" activePane="bottomLeft" state="frozen"/>
      <selection pane="bottomLeft" activeCell="A62" sqref="A62:XFD62"/>
    </sheetView>
  </sheetViews>
  <sheetFormatPr baseColWidth="10" defaultColWidth="8.90625" defaultRowHeight="14.5" x14ac:dyDescent="0.35"/>
  <sheetData>
    <row r="1" spans="1:8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35">
      <c r="A2" t="s">
        <v>49</v>
      </c>
      <c r="B2" t="s">
        <v>109</v>
      </c>
      <c r="C2" t="s">
        <v>16</v>
      </c>
      <c r="D2" t="s">
        <v>11</v>
      </c>
      <c r="E2" t="s">
        <v>30</v>
      </c>
      <c r="F2" t="s">
        <v>134</v>
      </c>
      <c r="G2" t="s">
        <v>154</v>
      </c>
      <c r="H2" t="s">
        <v>156</v>
      </c>
    </row>
    <row r="3" spans="1:8" x14ac:dyDescent="0.35">
      <c r="A3" t="s">
        <v>50</v>
      </c>
      <c r="B3" t="s">
        <v>110</v>
      </c>
      <c r="C3" t="s">
        <v>16</v>
      </c>
      <c r="D3" t="s">
        <v>11</v>
      </c>
      <c r="E3" t="s">
        <v>30</v>
      </c>
      <c r="F3" t="s">
        <v>135</v>
      </c>
      <c r="G3" t="s">
        <v>147</v>
      </c>
      <c r="H3" t="s">
        <v>152</v>
      </c>
    </row>
    <row r="4" spans="1:8" x14ac:dyDescent="0.35">
      <c r="A4" t="s">
        <v>51</v>
      </c>
      <c r="B4" t="s">
        <v>111</v>
      </c>
      <c r="C4" t="s">
        <v>16</v>
      </c>
      <c r="D4" t="s">
        <v>11</v>
      </c>
      <c r="E4" t="s">
        <v>30</v>
      </c>
      <c r="F4" t="s">
        <v>136</v>
      </c>
      <c r="G4" t="s">
        <v>150</v>
      </c>
      <c r="H4" t="s">
        <v>145</v>
      </c>
    </row>
    <row r="5" spans="1:8" x14ac:dyDescent="0.35">
      <c r="A5" t="s">
        <v>52</v>
      </c>
      <c r="B5" t="s">
        <v>111</v>
      </c>
      <c r="C5" t="s">
        <v>16</v>
      </c>
      <c r="D5" t="s">
        <v>11</v>
      </c>
      <c r="E5" t="s">
        <v>30</v>
      </c>
      <c r="F5" t="s">
        <v>137</v>
      </c>
      <c r="G5" t="s">
        <v>144</v>
      </c>
      <c r="H5" t="s">
        <v>135</v>
      </c>
    </row>
    <row r="6" spans="1:8" x14ac:dyDescent="0.35">
      <c r="A6" t="s">
        <v>53</v>
      </c>
      <c r="B6" t="s">
        <v>112</v>
      </c>
      <c r="C6" t="s">
        <v>16</v>
      </c>
      <c r="D6" t="s">
        <v>11</v>
      </c>
      <c r="E6" t="s">
        <v>30</v>
      </c>
      <c r="F6" t="s">
        <v>138</v>
      </c>
      <c r="G6" t="s">
        <v>155</v>
      </c>
      <c r="H6" t="s">
        <v>146</v>
      </c>
    </row>
    <row r="7" spans="1:8" x14ac:dyDescent="0.35">
      <c r="A7" t="s">
        <v>54</v>
      </c>
      <c r="B7" t="s">
        <v>113</v>
      </c>
      <c r="C7" t="s">
        <v>16</v>
      </c>
      <c r="D7" t="s">
        <v>11</v>
      </c>
      <c r="E7" t="s">
        <v>30</v>
      </c>
      <c r="F7" t="s">
        <v>139</v>
      </c>
      <c r="G7" t="s">
        <v>156</v>
      </c>
      <c r="H7" t="s">
        <v>157</v>
      </c>
    </row>
    <row r="8" spans="1:8" x14ac:dyDescent="0.35">
      <c r="A8" t="s">
        <v>55</v>
      </c>
      <c r="B8" t="s">
        <v>110</v>
      </c>
      <c r="C8" t="s">
        <v>16</v>
      </c>
      <c r="D8" t="s">
        <v>11</v>
      </c>
      <c r="E8" t="s">
        <v>30</v>
      </c>
      <c r="F8" t="s">
        <v>140</v>
      </c>
      <c r="G8" t="s">
        <v>134</v>
      </c>
      <c r="H8" t="s">
        <v>139</v>
      </c>
    </row>
    <row r="9" spans="1:8" x14ac:dyDescent="0.35">
      <c r="A9" t="s">
        <v>56</v>
      </c>
      <c r="B9" t="s">
        <v>114</v>
      </c>
      <c r="C9" t="s">
        <v>16</v>
      </c>
      <c r="D9" t="s">
        <v>11</v>
      </c>
      <c r="E9" t="s">
        <v>30</v>
      </c>
      <c r="F9" t="s">
        <v>141</v>
      </c>
      <c r="G9" t="s">
        <v>153</v>
      </c>
      <c r="H9" t="s">
        <v>140</v>
      </c>
    </row>
    <row r="10" spans="1:8" x14ac:dyDescent="0.35">
      <c r="A10" t="s">
        <v>57</v>
      </c>
      <c r="B10" t="s">
        <v>115</v>
      </c>
      <c r="C10" t="s">
        <v>16</v>
      </c>
      <c r="D10" t="s">
        <v>11</v>
      </c>
      <c r="E10" t="s">
        <v>30</v>
      </c>
      <c r="F10" t="s">
        <v>139</v>
      </c>
      <c r="G10" t="s">
        <v>156</v>
      </c>
      <c r="H10" t="s">
        <v>157</v>
      </c>
    </row>
    <row r="11" spans="1:8" x14ac:dyDescent="0.35">
      <c r="A11" t="s">
        <v>58</v>
      </c>
      <c r="B11" t="s">
        <v>116</v>
      </c>
      <c r="C11" t="s">
        <v>16</v>
      </c>
      <c r="D11" t="s">
        <v>11</v>
      </c>
      <c r="E11" t="s">
        <v>30</v>
      </c>
      <c r="F11" t="s">
        <v>142</v>
      </c>
      <c r="G11" t="s">
        <v>135</v>
      </c>
      <c r="H11" t="s">
        <v>151</v>
      </c>
    </row>
    <row r="12" spans="1:8" x14ac:dyDescent="0.35">
      <c r="A12" t="s">
        <v>59</v>
      </c>
      <c r="B12" t="s">
        <v>117</v>
      </c>
      <c r="C12" t="s">
        <v>16</v>
      </c>
      <c r="D12" t="s">
        <v>11</v>
      </c>
      <c r="E12" t="s">
        <v>30</v>
      </c>
      <c r="F12" t="s">
        <v>138</v>
      </c>
      <c r="G12" t="s">
        <v>155</v>
      </c>
      <c r="H12" t="s">
        <v>146</v>
      </c>
    </row>
    <row r="13" spans="1:8" x14ac:dyDescent="0.35">
      <c r="A13" t="s">
        <v>60</v>
      </c>
      <c r="B13" t="s">
        <v>118</v>
      </c>
      <c r="C13" t="s">
        <v>16</v>
      </c>
      <c r="D13" t="s">
        <v>11</v>
      </c>
      <c r="E13" t="s">
        <v>30</v>
      </c>
      <c r="F13" t="s">
        <v>134</v>
      </c>
      <c r="G13" t="s">
        <v>154</v>
      </c>
      <c r="H13" t="s">
        <v>156</v>
      </c>
    </row>
    <row r="14" spans="1:8" x14ac:dyDescent="0.35">
      <c r="A14" t="s">
        <v>61</v>
      </c>
      <c r="B14" t="s">
        <v>116</v>
      </c>
      <c r="C14" t="s">
        <v>16</v>
      </c>
      <c r="D14" t="s">
        <v>11</v>
      </c>
      <c r="E14" t="s">
        <v>30</v>
      </c>
      <c r="F14" t="s">
        <v>143</v>
      </c>
      <c r="G14" t="s">
        <v>157</v>
      </c>
      <c r="H14" t="s">
        <v>159</v>
      </c>
    </row>
    <row r="15" spans="1:8" x14ac:dyDescent="0.35">
      <c r="A15" t="s">
        <v>62</v>
      </c>
      <c r="B15" t="s">
        <v>116</v>
      </c>
      <c r="C15" t="s">
        <v>16</v>
      </c>
      <c r="D15" t="s">
        <v>11</v>
      </c>
      <c r="E15" t="s">
        <v>30</v>
      </c>
      <c r="F15" t="s">
        <v>141</v>
      </c>
      <c r="G15" t="s">
        <v>153</v>
      </c>
      <c r="H15" t="s">
        <v>140</v>
      </c>
    </row>
    <row r="16" spans="1:8" x14ac:dyDescent="0.35">
      <c r="A16" t="s">
        <v>63</v>
      </c>
      <c r="B16" t="s">
        <v>119</v>
      </c>
      <c r="C16" t="s">
        <v>16</v>
      </c>
      <c r="D16" t="s">
        <v>11</v>
      </c>
      <c r="E16" t="s">
        <v>30</v>
      </c>
      <c r="F16" t="s">
        <v>142</v>
      </c>
      <c r="G16" t="s">
        <v>135</v>
      </c>
      <c r="H16" t="s">
        <v>151</v>
      </c>
    </row>
    <row r="17" spans="1:8" x14ac:dyDescent="0.35">
      <c r="A17" t="s">
        <v>64</v>
      </c>
      <c r="B17" t="s">
        <v>120</v>
      </c>
      <c r="C17" t="s">
        <v>16</v>
      </c>
      <c r="D17" t="s">
        <v>11</v>
      </c>
      <c r="E17" t="s">
        <v>30</v>
      </c>
      <c r="F17" t="s">
        <v>144</v>
      </c>
      <c r="G17" t="s">
        <v>140</v>
      </c>
      <c r="H17" t="s">
        <v>147</v>
      </c>
    </row>
    <row r="18" spans="1:8" x14ac:dyDescent="0.35">
      <c r="A18" t="s">
        <v>65</v>
      </c>
      <c r="B18" t="s">
        <v>121</v>
      </c>
      <c r="C18" t="s">
        <v>16</v>
      </c>
      <c r="D18" t="s">
        <v>11</v>
      </c>
      <c r="E18" t="s">
        <v>30</v>
      </c>
      <c r="F18" t="s">
        <v>141</v>
      </c>
      <c r="G18" t="s">
        <v>153</v>
      </c>
      <c r="H18" t="s">
        <v>140</v>
      </c>
    </row>
    <row r="19" spans="1:8" x14ac:dyDescent="0.35">
      <c r="A19" t="s">
        <v>66</v>
      </c>
      <c r="B19" t="s">
        <v>122</v>
      </c>
      <c r="C19" t="s">
        <v>16</v>
      </c>
      <c r="D19" t="s">
        <v>11</v>
      </c>
      <c r="E19" t="s">
        <v>30</v>
      </c>
      <c r="F19" t="s">
        <v>145</v>
      </c>
      <c r="G19" t="s">
        <v>138</v>
      </c>
      <c r="H19" t="s">
        <v>149</v>
      </c>
    </row>
    <row r="20" spans="1:8" x14ac:dyDescent="0.35">
      <c r="A20" t="s">
        <v>67</v>
      </c>
      <c r="B20" t="s">
        <v>123</v>
      </c>
      <c r="C20" t="s">
        <v>16</v>
      </c>
      <c r="D20" t="s">
        <v>11</v>
      </c>
      <c r="E20" t="s">
        <v>30</v>
      </c>
      <c r="F20" t="s">
        <v>143</v>
      </c>
      <c r="G20" t="s">
        <v>157</v>
      </c>
      <c r="H20" t="s">
        <v>159</v>
      </c>
    </row>
    <row r="21" spans="1:8" x14ac:dyDescent="0.35">
      <c r="A21" t="s">
        <v>68</v>
      </c>
      <c r="B21" t="s">
        <v>124</v>
      </c>
      <c r="C21" t="s">
        <v>16</v>
      </c>
      <c r="D21" t="s">
        <v>11</v>
      </c>
      <c r="E21" t="s">
        <v>30</v>
      </c>
      <c r="F21" t="s">
        <v>135</v>
      </c>
      <c r="G21" t="s">
        <v>147</v>
      </c>
      <c r="H21" t="s">
        <v>152</v>
      </c>
    </row>
    <row r="22" spans="1:8" x14ac:dyDescent="0.35">
      <c r="A22" t="s">
        <v>69</v>
      </c>
      <c r="B22" t="s">
        <v>125</v>
      </c>
      <c r="C22" t="s">
        <v>16</v>
      </c>
      <c r="D22" t="s">
        <v>11</v>
      </c>
      <c r="E22" t="s">
        <v>30</v>
      </c>
      <c r="F22" t="s">
        <v>143</v>
      </c>
      <c r="G22" t="s">
        <v>157</v>
      </c>
      <c r="H22" t="s">
        <v>159</v>
      </c>
    </row>
    <row r="23" spans="1:8" x14ac:dyDescent="0.35">
      <c r="A23" t="s">
        <v>70</v>
      </c>
      <c r="B23" t="s">
        <v>111</v>
      </c>
      <c r="C23" t="s">
        <v>16</v>
      </c>
      <c r="D23" t="s">
        <v>11</v>
      </c>
      <c r="E23" t="s">
        <v>30</v>
      </c>
      <c r="F23" t="s">
        <v>134</v>
      </c>
      <c r="G23" t="s">
        <v>154</v>
      </c>
      <c r="H23" t="s">
        <v>156</v>
      </c>
    </row>
    <row r="24" spans="1:8" x14ac:dyDescent="0.35">
      <c r="A24" t="s">
        <v>71</v>
      </c>
      <c r="B24" t="s">
        <v>124</v>
      </c>
      <c r="C24" t="s">
        <v>16</v>
      </c>
      <c r="D24" t="s">
        <v>11</v>
      </c>
      <c r="E24" t="s">
        <v>30</v>
      </c>
      <c r="F24" t="s">
        <v>134</v>
      </c>
      <c r="G24" t="s">
        <v>154</v>
      </c>
      <c r="H24" t="s">
        <v>156</v>
      </c>
    </row>
    <row r="25" spans="1:8" x14ac:dyDescent="0.35">
      <c r="A25" t="s">
        <v>72</v>
      </c>
      <c r="B25" t="s">
        <v>126</v>
      </c>
      <c r="C25" t="s">
        <v>16</v>
      </c>
      <c r="D25" t="s">
        <v>11</v>
      </c>
      <c r="E25" t="s">
        <v>30</v>
      </c>
      <c r="F25" t="s">
        <v>134</v>
      </c>
      <c r="G25" t="s">
        <v>154</v>
      </c>
      <c r="H25" t="s">
        <v>156</v>
      </c>
    </row>
    <row r="26" spans="1:8" x14ac:dyDescent="0.35">
      <c r="A26" t="s">
        <v>73</v>
      </c>
      <c r="B26" t="s">
        <v>127</v>
      </c>
      <c r="C26" t="s">
        <v>16</v>
      </c>
      <c r="D26" t="s">
        <v>11</v>
      </c>
      <c r="E26" t="s">
        <v>30</v>
      </c>
      <c r="F26" t="s">
        <v>142</v>
      </c>
      <c r="G26" t="s">
        <v>135</v>
      </c>
      <c r="H26" t="s">
        <v>151</v>
      </c>
    </row>
    <row r="27" spans="1:8" x14ac:dyDescent="0.35">
      <c r="A27" t="s">
        <v>74</v>
      </c>
      <c r="B27" t="s">
        <v>128</v>
      </c>
      <c r="C27" t="s">
        <v>16</v>
      </c>
      <c r="D27" t="s">
        <v>11</v>
      </c>
      <c r="E27" t="s">
        <v>30</v>
      </c>
      <c r="F27" t="s">
        <v>137</v>
      </c>
      <c r="G27" t="s">
        <v>144</v>
      </c>
      <c r="H27" t="s">
        <v>135</v>
      </c>
    </row>
    <row r="28" spans="1:8" x14ac:dyDescent="0.35">
      <c r="A28" t="s">
        <v>75</v>
      </c>
      <c r="B28" t="s">
        <v>122</v>
      </c>
      <c r="C28" t="s">
        <v>16</v>
      </c>
      <c r="D28" t="s">
        <v>11</v>
      </c>
      <c r="E28" t="s">
        <v>30</v>
      </c>
      <c r="F28" t="s">
        <v>146</v>
      </c>
      <c r="G28" t="s">
        <v>158</v>
      </c>
      <c r="H28" t="s">
        <v>160</v>
      </c>
    </row>
    <row r="29" spans="1:8" x14ac:dyDescent="0.35">
      <c r="A29" t="s">
        <v>76</v>
      </c>
      <c r="B29" t="s">
        <v>127</v>
      </c>
      <c r="C29" t="s">
        <v>16</v>
      </c>
      <c r="D29" t="s">
        <v>11</v>
      </c>
      <c r="E29" t="s">
        <v>30</v>
      </c>
      <c r="F29" t="s">
        <v>138</v>
      </c>
      <c r="G29" t="s">
        <v>155</v>
      </c>
      <c r="H29" t="s">
        <v>146</v>
      </c>
    </row>
    <row r="30" spans="1:8" x14ac:dyDescent="0.35">
      <c r="A30" t="s">
        <v>77</v>
      </c>
      <c r="B30" t="s">
        <v>117</v>
      </c>
      <c r="C30" t="s">
        <v>16</v>
      </c>
      <c r="D30" t="s">
        <v>11</v>
      </c>
      <c r="E30" t="s">
        <v>30</v>
      </c>
      <c r="F30" t="s">
        <v>142</v>
      </c>
      <c r="G30" t="s">
        <v>135</v>
      </c>
      <c r="H30" t="s">
        <v>151</v>
      </c>
    </row>
    <row r="31" spans="1:8" x14ac:dyDescent="0.35">
      <c r="A31" t="s">
        <v>78</v>
      </c>
      <c r="B31" t="s">
        <v>129</v>
      </c>
      <c r="C31" t="s">
        <v>16</v>
      </c>
      <c r="D31" t="s">
        <v>11</v>
      </c>
      <c r="E31" t="s">
        <v>30</v>
      </c>
      <c r="F31" t="s">
        <v>147</v>
      </c>
      <c r="G31" t="s">
        <v>139</v>
      </c>
      <c r="H31" t="s">
        <v>143</v>
      </c>
    </row>
    <row r="32" spans="1:8" x14ac:dyDescent="0.35">
      <c r="A32" t="s">
        <v>79</v>
      </c>
      <c r="B32" t="s">
        <v>110</v>
      </c>
      <c r="C32" t="s">
        <v>16</v>
      </c>
      <c r="D32" t="s">
        <v>11</v>
      </c>
      <c r="E32" t="s">
        <v>30</v>
      </c>
      <c r="F32" t="s">
        <v>148</v>
      </c>
      <c r="G32" t="s">
        <v>145</v>
      </c>
      <c r="H32" t="s">
        <v>153</v>
      </c>
    </row>
    <row r="33" spans="1:8" x14ac:dyDescent="0.35">
      <c r="A33" t="s">
        <v>80</v>
      </c>
      <c r="B33" t="s">
        <v>112</v>
      </c>
      <c r="C33" t="s">
        <v>16</v>
      </c>
      <c r="D33" t="s">
        <v>11</v>
      </c>
      <c r="E33" t="s">
        <v>30</v>
      </c>
      <c r="F33" t="s">
        <v>149</v>
      </c>
      <c r="G33" t="s">
        <v>146</v>
      </c>
      <c r="H33" t="s">
        <v>154</v>
      </c>
    </row>
    <row r="34" spans="1:8" x14ac:dyDescent="0.35">
      <c r="A34" t="s">
        <v>81</v>
      </c>
      <c r="B34" t="s">
        <v>130</v>
      </c>
      <c r="C34" t="s">
        <v>16</v>
      </c>
      <c r="D34" t="s">
        <v>11</v>
      </c>
      <c r="E34" t="s">
        <v>30</v>
      </c>
      <c r="F34" t="s">
        <v>148</v>
      </c>
      <c r="G34" t="s">
        <v>145</v>
      </c>
      <c r="H34" t="s">
        <v>153</v>
      </c>
    </row>
    <row r="35" spans="1:8" x14ac:dyDescent="0.35">
      <c r="A35" t="s">
        <v>82</v>
      </c>
      <c r="B35" t="s">
        <v>113</v>
      </c>
      <c r="C35" t="s">
        <v>16</v>
      </c>
      <c r="D35" t="s">
        <v>11</v>
      </c>
      <c r="E35" t="s">
        <v>30</v>
      </c>
      <c r="F35" t="s">
        <v>150</v>
      </c>
      <c r="G35" t="s">
        <v>151</v>
      </c>
      <c r="H35" t="s">
        <v>138</v>
      </c>
    </row>
    <row r="36" spans="1:8" x14ac:dyDescent="0.35">
      <c r="A36" t="s">
        <v>83</v>
      </c>
      <c r="B36" t="s">
        <v>131</v>
      </c>
      <c r="C36" t="s">
        <v>16</v>
      </c>
      <c r="D36" t="s">
        <v>11</v>
      </c>
      <c r="E36" t="s">
        <v>30</v>
      </c>
      <c r="F36" t="s">
        <v>145</v>
      </c>
      <c r="G36" t="s">
        <v>138</v>
      </c>
      <c r="H36" t="s">
        <v>149</v>
      </c>
    </row>
    <row r="37" spans="1:8" x14ac:dyDescent="0.35">
      <c r="A37" t="s">
        <v>84</v>
      </c>
      <c r="B37" t="s">
        <v>129</v>
      </c>
      <c r="C37" t="s">
        <v>16</v>
      </c>
      <c r="D37" t="s">
        <v>11</v>
      </c>
      <c r="E37" t="s">
        <v>30</v>
      </c>
      <c r="F37" t="s">
        <v>137</v>
      </c>
      <c r="G37" t="s">
        <v>144</v>
      </c>
      <c r="H37" t="s">
        <v>135</v>
      </c>
    </row>
    <row r="38" spans="1:8" x14ac:dyDescent="0.35">
      <c r="A38" t="s">
        <v>85</v>
      </c>
      <c r="B38" t="s">
        <v>121</v>
      </c>
      <c r="C38" t="s">
        <v>16</v>
      </c>
      <c r="D38" t="s">
        <v>11</v>
      </c>
      <c r="E38" t="s">
        <v>30</v>
      </c>
      <c r="F38" t="s">
        <v>136</v>
      </c>
      <c r="G38" t="s">
        <v>150</v>
      </c>
      <c r="H38" t="s">
        <v>145</v>
      </c>
    </row>
    <row r="39" spans="1:8" x14ac:dyDescent="0.35">
      <c r="A39" t="s">
        <v>86</v>
      </c>
      <c r="B39" t="s">
        <v>124</v>
      </c>
      <c r="C39" t="s">
        <v>16</v>
      </c>
      <c r="D39" t="s">
        <v>11</v>
      </c>
      <c r="E39" t="s">
        <v>30</v>
      </c>
      <c r="F39" t="s">
        <v>151</v>
      </c>
      <c r="G39" t="s">
        <v>152</v>
      </c>
      <c r="H39" t="s">
        <v>155</v>
      </c>
    </row>
    <row r="40" spans="1:8" x14ac:dyDescent="0.35">
      <c r="A40" t="s">
        <v>87</v>
      </c>
      <c r="B40" t="s">
        <v>120</v>
      </c>
      <c r="C40" t="s">
        <v>16</v>
      </c>
      <c r="D40" t="s">
        <v>11</v>
      </c>
      <c r="E40" t="s">
        <v>30</v>
      </c>
      <c r="F40" t="s">
        <v>137</v>
      </c>
      <c r="G40" t="s">
        <v>144</v>
      </c>
      <c r="H40" t="s">
        <v>135</v>
      </c>
    </row>
    <row r="41" spans="1:8" x14ac:dyDescent="0.35">
      <c r="A41" t="s">
        <v>88</v>
      </c>
      <c r="B41" t="s">
        <v>129</v>
      </c>
      <c r="C41" t="s">
        <v>16</v>
      </c>
      <c r="D41" t="s">
        <v>11</v>
      </c>
      <c r="E41" t="s">
        <v>30</v>
      </c>
      <c r="F41" t="s">
        <v>152</v>
      </c>
      <c r="G41" t="s">
        <v>143</v>
      </c>
      <c r="H41" t="s">
        <v>161</v>
      </c>
    </row>
    <row r="42" spans="1:8" x14ac:dyDescent="0.35">
      <c r="A42" t="s">
        <v>89</v>
      </c>
      <c r="B42" t="s">
        <v>126</v>
      </c>
      <c r="C42" t="s">
        <v>16</v>
      </c>
      <c r="D42" t="s">
        <v>11</v>
      </c>
      <c r="E42" t="s">
        <v>30</v>
      </c>
      <c r="F42" t="s">
        <v>143</v>
      </c>
      <c r="G42" t="s">
        <v>157</v>
      </c>
      <c r="H42" t="s">
        <v>159</v>
      </c>
    </row>
    <row r="43" spans="1:8" x14ac:dyDescent="0.35">
      <c r="A43" t="s">
        <v>90</v>
      </c>
      <c r="B43" t="s">
        <v>125</v>
      </c>
      <c r="C43" t="s">
        <v>16</v>
      </c>
      <c r="D43" t="s">
        <v>11</v>
      </c>
      <c r="E43" t="s">
        <v>30</v>
      </c>
      <c r="F43" t="s">
        <v>152</v>
      </c>
      <c r="G43" t="s">
        <v>143</v>
      </c>
      <c r="H43" t="s">
        <v>161</v>
      </c>
    </row>
    <row r="44" spans="1:8" x14ac:dyDescent="0.35">
      <c r="A44" t="s">
        <v>91</v>
      </c>
      <c r="B44" t="s">
        <v>132</v>
      </c>
      <c r="C44" t="s">
        <v>16</v>
      </c>
      <c r="D44" t="s">
        <v>11</v>
      </c>
      <c r="E44" t="s">
        <v>30</v>
      </c>
      <c r="F44" t="s">
        <v>140</v>
      </c>
      <c r="G44" t="s">
        <v>134</v>
      </c>
      <c r="H44" t="s">
        <v>139</v>
      </c>
    </row>
    <row r="45" spans="1:8" x14ac:dyDescent="0.35">
      <c r="A45" t="s">
        <v>92</v>
      </c>
      <c r="B45" t="s">
        <v>111</v>
      </c>
      <c r="C45" t="s">
        <v>16</v>
      </c>
      <c r="D45" t="s">
        <v>11</v>
      </c>
      <c r="E45" t="s">
        <v>30</v>
      </c>
      <c r="F45" t="s">
        <v>149</v>
      </c>
      <c r="G45" t="s">
        <v>146</v>
      </c>
      <c r="H45" t="s">
        <v>154</v>
      </c>
    </row>
    <row r="46" spans="1:8" x14ac:dyDescent="0.35">
      <c r="A46" t="s">
        <v>93</v>
      </c>
      <c r="B46" t="s">
        <v>132</v>
      </c>
      <c r="C46" t="s">
        <v>16</v>
      </c>
      <c r="D46" t="s">
        <v>11</v>
      </c>
      <c r="E46" t="s">
        <v>30</v>
      </c>
      <c r="F46" t="s">
        <v>135</v>
      </c>
      <c r="G46" t="s">
        <v>147</v>
      </c>
      <c r="H46" t="s">
        <v>152</v>
      </c>
    </row>
    <row r="47" spans="1:8" x14ac:dyDescent="0.35">
      <c r="A47" t="s">
        <v>94</v>
      </c>
      <c r="B47" t="s">
        <v>130</v>
      </c>
      <c r="C47" t="s">
        <v>16</v>
      </c>
      <c r="D47" t="s">
        <v>11</v>
      </c>
      <c r="E47" t="s">
        <v>30</v>
      </c>
      <c r="F47" t="s">
        <v>153</v>
      </c>
      <c r="G47" t="s">
        <v>149</v>
      </c>
      <c r="H47" t="s">
        <v>134</v>
      </c>
    </row>
    <row r="48" spans="1:8" x14ac:dyDescent="0.35">
      <c r="A48" t="s">
        <v>95</v>
      </c>
      <c r="B48" t="s">
        <v>127</v>
      </c>
      <c r="C48" t="s">
        <v>16</v>
      </c>
      <c r="D48" t="s">
        <v>11</v>
      </c>
      <c r="E48" t="s">
        <v>30</v>
      </c>
      <c r="F48" t="s">
        <v>143</v>
      </c>
      <c r="G48" t="s">
        <v>157</v>
      </c>
      <c r="H48" t="s">
        <v>159</v>
      </c>
    </row>
    <row r="49" spans="1:8" x14ac:dyDescent="0.35">
      <c r="A49" t="s">
        <v>96</v>
      </c>
      <c r="B49" t="s">
        <v>130</v>
      </c>
      <c r="C49" t="s">
        <v>16</v>
      </c>
      <c r="D49" t="s">
        <v>11</v>
      </c>
      <c r="E49" t="s">
        <v>30</v>
      </c>
      <c r="F49" t="s">
        <v>149</v>
      </c>
      <c r="G49" t="s">
        <v>146</v>
      </c>
      <c r="H49" t="s">
        <v>154</v>
      </c>
    </row>
    <row r="50" spans="1:8" x14ac:dyDescent="0.35">
      <c r="A50" t="s">
        <v>97</v>
      </c>
      <c r="B50" t="s">
        <v>128</v>
      </c>
      <c r="C50" t="s">
        <v>16</v>
      </c>
      <c r="D50" t="s">
        <v>11</v>
      </c>
      <c r="E50" t="s">
        <v>30</v>
      </c>
      <c r="F50" t="s">
        <v>149</v>
      </c>
      <c r="G50" t="s">
        <v>146</v>
      </c>
      <c r="H50" t="s">
        <v>154</v>
      </c>
    </row>
    <row r="51" spans="1:8" x14ac:dyDescent="0.35">
      <c r="A51" t="s">
        <v>98</v>
      </c>
      <c r="B51" t="s">
        <v>122</v>
      </c>
      <c r="C51" t="s">
        <v>16</v>
      </c>
      <c r="D51" t="s">
        <v>11</v>
      </c>
      <c r="E51" t="s">
        <v>30</v>
      </c>
      <c r="F51" t="s">
        <v>143</v>
      </c>
      <c r="G51" t="s">
        <v>157</v>
      </c>
      <c r="H51" t="s">
        <v>159</v>
      </c>
    </row>
    <row r="52" spans="1:8" x14ac:dyDescent="0.35">
      <c r="A52" t="s">
        <v>99</v>
      </c>
      <c r="B52" t="s">
        <v>127</v>
      </c>
      <c r="C52" t="s">
        <v>16</v>
      </c>
      <c r="D52" t="s">
        <v>11</v>
      </c>
      <c r="E52" t="s">
        <v>30</v>
      </c>
      <c r="F52" t="s">
        <v>152</v>
      </c>
      <c r="G52" t="s">
        <v>143</v>
      </c>
      <c r="H52" t="s">
        <v>161</v>
      </c>
    </row>
    <row r="53" spans="1:8" x14ac:dyDescent="0.35">
      <c r="A53" t="s">
        <v>100</v>
      </c>
      <c r="B53" t="s">
        <v>113</v>
      </c>
      <c r="C53" t="s">
        <v>16</v>
      </c>
      <c r="D53" t="s">
        <v>11</v>
      </c>
      <c r="E53" t="s">
        <v>30</v>
      </c>
      <c r="F53" t="s">
        <v>134</v>
      </c>
      <c r="G53" t="s">
        <v>154</v>
      </c>
      <c r="H53" t="s">
        <v>156</v>
      </c>
    </row>
    <row r="54" spans="1:8" x14ac:dyDescent="0.35">
      <c r="A54" t="s">
        <v>101</v>
      </c>
      <c r="B54" t="s">
        <v>112</v>
      </c>
      <c r="C54" t="s">
        <v>16</v>
      </c>
      <c r="D54" t="s">
        <v>11</v>
      </c>
      <c r="E54" t="s">
        <v>30</v>
      </c>
      <c r="F54" t="s">
        <v>152</v>
      </c>
      <c r="G54" t="s">
        <v>143</v>
      </c>
      <c r="H54" t="s">
        <v>161</v>
      </c>
    </row>
    <row r="55" spans="1:8" x14ac:dyDescent="0.35">
      <c r="A55" t="s">
        <v>102</v>
      </c>
      <c r="B55" t="s">
        <v>125</v>
      </c>
      <c r="C55" t="s">
        <v>16</v>
      </c>
      <c r="D55" t="s">
        <v>11</v>
      </c>
      <c r="E55" t="s">
        <v>30</v>
      </c>
      <c r="F55" t="s">
        <v>136</v>
      </c>
      <c r="G55" t="s">
        <v>150</v>
      </c>
      <c r="H55" t="s">
        <v>145</v>
      </c>
    </row>
    <row r="56" spans="1:8" x14ac:dyDescent="0.35">
      <c r="A56" t="s">
        <v>103</v>
      </c>
      <c r="B56" t="s">
        <v>122</v>
      </c>
      <c r="C56" t="s">
        <v>16</v>
      </c>
      <c r="D56" t="s">
        <v>11</v>
      </c>
      <c r="E56" t="s">
        <v>30</v>
      </c>
      <c r="F56" t="s">
        <v>146</v>
      </c>
      <c r="G56" t="s">
        <v>158</v>
      </c>
      <c r="H56" t="s">
        <v>160</v>
      </c>
    </row>
    <row r="57" spans="1:8" x14ac:dyDescent="0.35">
      <c r="A57" t="s">
        <v>104</v>
      </c>
      <c r="B57" t="s">
        <v>133</v>
      </c>
      <c r="C57" t="s">
        <v>16</v>
      </c>
      <c r="D57" t="s">
        <v>11</v>
      </c>
      <c r="E57" t="s">
        <v>30</v>
      </c>
      <c r="F57" t="s">
        <v>148</v>
      </c>
      <c r="G57" t="s">
        <v>145</v>
      </c>
      <c r="H57" t="s">
        <v>153</v>
      </c>
    </row>
    <row r="58" spans="1:8" x14ac:dyDescent="0.35">
      <c r="A58" t="s">
        <v>105</v>
      </c>
      <c r="B58" t="s">
        <v>127</v>
      </c>
      <c r="C58" t="s">
        <v>16</v>
      </c>
      <c r="D58" t="s">
        <v>11</v>
      </c>
      <c r="E58" t="s">
        <v>30</v>
      </c>
      <c r="F58" t="s">
        <v>153</v>
      </c>
      <c r="G58" t="s">
        <v>149</v>
      </c>
      <c r="H58" t="s">
        <v>134</v>
      </c>
    </row>
    <row r="59" spans="1:8" x14ac:dyDescent="0.35">
      <c r="A59" t="s">
        <v>106</v>
      </c>
      <c r="B59" t="s">
        <v>133</v>
      </c>
      <c r="C59" t="s">
        <v>16</v>
      </c>
      <c r="D59" t="s">
        <v>11</v>
      </c>
      <c r="E59" t="s">
        <v>30</v>
      </c>
      <c r="F59" t="s">
        <v>135</v>
      </c>
      <c r="G59" t="s">
        <v>147</v>
      </c>
      <c r="H59" t="s">
        <v>152</v>
      </c>
    </row>
    <row r="60" spans="1:8" x14ac:dyDescent="0.35">
      <c r="A60" t="s">
        <v>107</v>
      </c>
      <c r="B60" t="s">
        <v>123</v>
      </c>
      <c r="C60" t="s">
        <v>16</v>
      </c>
      <c r="D60" t="s">
        <v>11</v>
      </c>
      <c r="E60" t="s">
        <v>30</v>
      </c>
      <c r="F60" t="s">
        <v>146</v>
      </c>
      <c r="G60" t="s">
        <v>158</v>
      </c>
      <c r="H60" t="s">
        <v>160</v>
      </c>
    </row>
    <row r="61" spans="1:8" x14ac:dyDescent="0.35">
      <c r="A61" t="s">
        <v>108</v>
      </c>
      <c r="B61" t="s">
        <v>127</v>
      </c>
      <c r="C61" t="s">
        <v>16</v>
      </c>
      <c r="D61" t="s">
        <v>11</v>
      </c>
      <c r="E61" t="s">
        <v>30</v>
      </c>
      <c r="F61" t="s">
        <v>138</v>
      </c>
      <c r="G61" t="s">
        <v>155</v>
      </c>
      <c r="H61" t="s">
        <v>146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 activeCell="I13" sqref="I13"/>
    </sheetView>
  </sheetViews>
  <sheetFormatPr baseColWidth="10" defaultColWidth="8.90625" defaultRowHeight="14.5" x14ac:dyDescent="0.35"/>
  <sheetData>
    <row r="1" spans="1:8" x14ac:dyDescent="0.35">
      <c r="A1" t="s">
        <v>162</v>
      </c>
      <c r="B1" t="s">
        <v>163</v>
      </c>
      <c r="C1" t="s">
        <v>164</v>
      </c>
      <c r="D1" t="s">
        <v>165</v>
      </c>
      <c r="E1" t="s">
        <v>3</v>
      </c>
      <c r="F1" t="s">
        <v>166</v>
      </c>
      <c r="G1" t="s">
        <v>44</v>
      </c>
    </row>
    <row r="2" spans="1:8" x14ac:dyDescent="0.35">
      <c r="A2" t="s">
        <v>49</v>
      </c>
      <c r="B2">
        <v>1</v>
      </c>
      <c r="C2" t="s">
        <v>167</v>
      </c>
      <c r="D2">
        <v>2000</v>
      </c>
      <c r="E2" t="s">
        <v>26</v>
      </c>
      <c r="F2">
        <v>1.2</v>
      </c>
      <c r="G2" t="s">
        <v>11</v>
      </c>
    </row>
    <row r="3" spans="1:8" x14ac:dyDescent="0.35">
      <c r="A3" t="s">
        <v>50</v>
      </c>
      <c r="B3">
        <v>1</v>
      </c>
      <c r="C3" t="s">
        <v>168</v>
      </c>
      <c r="D3">
        <v>921</v>
      </c>
      <c r="E3" t="s">
        <v>26</v>
      </c>
      <c r="F3">
        <v>1.3</v>
      </c>
      <c r="G3" t="s">
        <v>572</v>
      </c>
    </row>
    <row r="4" spans="1:8" x14ac:dyDescent="0.35">
      <c r="A4" t="s">
        <v>51</v>
      </c>
      <c r="B4">
        <v>1</v>
      </c>
      <c r="C4" t="s">
        <v>40</v>
      </c>
      <c r="D4">
        <v>372</v>
      </c>
      <c r="E4" t="s">
        <v>26</v>
      </c>
      <c r="F4">
        <v>1.3</v>
      </c>
      <c r="G4" t="s">
        <v>572</v>
      </c>
    </row>
    <row r="5" spans="1:8" x14ac:dyDescent="0.35">
      <c r="A5" t="s">
        <v>52</v>
      </c>
      <c r="B5">
        <v>1</v>
      </c>
      <c r="C5" t="s">
        <v>168</v>
      </c>
      <c r="D5">
        <v>367</v>
      </c>
      <c r="E5" t="s">
        <v>26</v>
      </c>
      <c r="F5">
        <v>1.3</v>
      </c>
      <c r="G5" t="s">
        <v>572</v>
      </c>
    </row>
    <row r="6" spans="1:8" x14ac:dyDescent="0.35">
      <c r="A6" t="s">
        <v>53</v>
      </c>
      <c r="B6">
        <v>1</v>
      </c>
      <c r="C6" t="s">
        <v>167</v>
      </c>
      <c r="D6">
        <v>373</v>
      </c>
      <c r="E6" t="s">
        <v>26</v>
      </c>
      <c r="F6">
        <v>1.3</v>
      </c>
      <c r="G6" t="s">
        <v>572</v>
      </c>
    </row>
    <row r="7" spans="1:8" x14ac:dyDescent="0.35">
      <c r="A7" t="s">
        <v>54</v>
      </c>
      <c r="B7">
        <v>1</v>
      </c>
      <c r="C7" t="s">
        <v>167</v>
      </c>
      <c r="D7">
        <v>905</v>
      </c>
      <c r="E7" t="s">
        <v>26</v>
      </c>
      <c r="F7">
        <v>1.3</v>
      </c>
      <c r="G7" t="s">
        <v>572</v>
      </c>
    </row>
    <row r="8" spans="1:8" x14ac:dyDescent="0.35">
      <c r="A8" t="s">
        <v>55</v>
      </c>
      <c r="B8">
        <v>1</v>
      </c>
      <c r="C8" t="s">
        <v>40</v>
      </c>
      <c r="D8">
        <v>978</v>
      </c>
      <c r="E8" t="s">
        <v>26</v>
      </c>
      <c r="F8">
        <v>1.3</v>
      </c>
      <c r="G8" t="s">
        <v>572</v>
      </c>
      <c r="H8" s="1"/>
    </row>
    <row r="9" spans="1:8" x14ac:dyDescent="0.35">
      <c r="A9" t="s">
        <v>56</v>
      </c>
      <c r="B9">
        <v>1</v>
      </c>
      <c r="C9" t="s">
        <v>168</v>
      </c>
      <c r="D9">
        <v>518</v>
      </c>
      <c r="E9" t="s">
        <v>26</v>
      </c>
      <c r="F9">
        <v>1.3</v>
      </c>
      <c r="G9" t="s">
        <v>572</v>
      </c>
    </row>
    <row r="10" spans="1:8" x14ac:dyDescent="0.35">
      <c r="A10" t="s">
        <v>57</v>
      </c>
      <c r="B10">
        <v>1</v>
      </c>
      <c r="C10" t="s">
        <v>168</v>
      </c>
      <c r="D10">
        <v>628</v>
      </c>
      <c r="E10" t="s">
        <v>26</v>
      </c>
      <c r="F10">
        <v>1.3</v>
      </c>
      <c r="G10" t="s">
        <v>572</v>
      </c>
    </row>
    <row r="11" spans="1:8" x14ac:dyDescent="0.35">
      <c r="A11" t="s">
        <v>58</v>
      </c>
      <c r="B11">
        <v>1</v>
      </c>
      <c r="C11" t="s">
        <v>40</v>
      </c>
      <c r="D11">
        <v>525</v>
      </c>
      <c r="E11" t="s">
        <v>26</v>
      </c>
      <c r="F11">
        <v>1.3</v>
      </c>
      <c r="G11" t="s">
        <v>572</v>
      </c>
    </row>
    <row r="12" spans="1:8" x14ac:dyDescent="0.35">
      <c r="A12" t="s">
        <v>59</v>
      </c>
      <c r="B12">
        <v>1</v>
      </c>
      <c r="C12" t="s">
        <v>168</v>
      </c>
      <c r="D12">
        <v>748</v>
      </c>
      <c r="E12" t="s">
        <v>26</v>
      </c>
      <c r="F12">
        <v>1.3</v>
      </c>
      <c r="G12" t="s">
        <v>572</v>
      </c>
    </row>
    <row r="13" spans="1:8" x14ac:dyDescent="0.35">
      <c r="A13" t="s">
        <v>60</v>
      </c>
      <c r="B13">
        <v>1</v>
      </c>
      <c r="C13" t="s">
        <v>40</v>
      </c>
      <c r="D13">
        <v>665</v>
      </c>
      <c r="E13" t="s">
        <v>26</v>
      </c>
      <c r="F13">
        <v>1.3</v>
      </c>
      <c r="G13" t="s">
        <v>572</v>
      </c>
    </row>
    <row r="14" spans="1:8" x14ac:dyDescent="0.35">
      <c r="A14" t="s">
        <v>61</v>
      </c>
      <c r="B14">
        <v>1</v>
      </c>
      <c r="C14" t="s">
        <v>40</v>
      </c>
      <c r="D14">
        <v>840</v>
      </c>
      <c r="E14" t="s">
        <v>26</v>
      </c>
      <c r="F14">
        <v>1.2</v>
      </c>
      <c r="G14" t="s">
        <v>11</v>
      </c>
    </row>
    <row r="15" spans="1:8" x14ac:dyDescent="0.35">
      <c r="A15" t="s">
        <v>62</v>
      </c>
      <c r="B15">
        <v>1</v>
      </c>
      <c r="C15" t="s">
        <v>167</v>
      </c>
      <c r="D15">
        <v>767</v>
      </c>
      <c r="E15" t="s">
        <v>26</v>
      </c>
      <c r="F15">
        <v>1.2</v>
      </c>
      <c r="G15" t="s">
        <v>11</v>
      </c>
    </row>
    <row r="16" spans="1:8" x14ac:dyDescent="0.35">
      <c r="A16" t="s">
        <v>63</v>
      </c>
      <c r="B16">
        <v>1</v>
      </c>
      <c r="C16" t="s">
        <v>40</v>
      </c>
      <c r="D16">
        <v>571</v>
      </c>
      <c r="E16" t="s">
        <v>26</v>
      </c>
      <c r="F16">
        <v>1.2</v>
      </c>
      <c r="G16" t="s">
        <v>11</v>
      </c>
    </row>
    <row r="17" spans="1:7" x14ac:dyDescent="0.35">
      <c r="A17" t="s">
        <v>64</v>
      </c>
      <c r="B17">
        <v>1</v>
      </c>
      <c r="C17" t="s">
        <v>40</v>
      </c>
      <c r="D17">
        <v>415</v>
      </c>
      <c r="E17" t="s">
        <v>26</v>
      </c>
      <c r="F17">
        <v>1.2</v>
      </c>
      <c r="G17" t="s">
        <v>11</v>
      </c>
    </row>
    <row r="18" spans="1:7" x14ac:dyDescent="0.35">
      <c r="A18" t="s">
        <v>65</v>
      </c>
      <c r="B18">
        <v>1</v>
      </c>
      <c r="C18" t="s">
        <v>168</v>
      </c>
      <c r="D18">
        <v>395</v>
      </c>
      <c r="E18" t="s">
        <v>26</v>
      </c>
      <c r="F18">
        <v>1.2</v>
      </c>
      <c r="G18" t="s">
        <v>11</v>
      </c>
    </row>
    <row r="19" spans="1:7" x14ac:dyDescent="0.35">
      <c r="A19" t="s">
        <v>66</v>
      </c>
      <c r="B19">
        <v>1</v>
      </c>
      <c r="C19" t="s">
        <v>40</v>
      </c>
      <c r="D19">
        <v>970</v>
      </c>
      <c r="E19" t="s">
        <v>26</v>
      </c>
      <c r="F19">
        <v>1.2</v>
      </c>
      <c r="G19" t="s">
        <v>11</v>
      </c>
    </row>
    <row r="20" spans="1:7" x14ac:dyDescent="0.35">
      <c r="A20" t="s">
        <v>67</v>
      </c>
      <c r="B20">
        <v>1</v>
      </c>
      <c r="C20" t="s">
        <v>167</v>
      </c>
      <c r="D20">
        <v>538</v>
      </c>
      <c r="E20" t="s">
        <v>26</v>
      </c>
      <c r="F20">
        <v>1.2</v>
      </c>
      <c r="G20" t="s">
        <v>11</v>
      </c>
    </row>
    <row r="21" spans="1:7" x14ac:dyDescent="0.35">
      <c r="A21" t="s">
        <v>68</v>
      </c>
      <c r="B21">
        <v>1</v>
      </c>
      <c r="C21" t="s">
        <v>168</v>
      </c>
      <c r="D21">
        <v>525</v>
      </c>
      <c r="E21" t="s">
        <v>26</v>
      </c>
      <c r="F21">
        <v>1.2</v>
      </c>
      <c r="G21" t="s">
        <v>11</v>
      </c>
    </row>
    <row r="22" spans="1:7" x14ac:dyDescent="0.35">
      <c r="A22" t="s">
        <v>69</v>
      </c>
      <c r="B22">
        <v>1</v>
      </c>
      <c r="C22" t="s">
        <v>40</v>
      </c>
      <c r="D22">
        <v>826</v>
      </c>
      <c r="E22" t="s">
        <v>26</v>
      </c>
      <c r="F22">
        <v>1.2</v>
      </c>
      <c r="G22" t="s">
        <v>11</v>
      </c>
    </row>
    <row r="23" spans="1:7" x14ac:dyDescent="0.35">
      <c r="A23" t="s">
        <v>70</v>
      </c>
      <c r="B23">
        <v>1</v>
      </c>
      <c r="C23" t="s">
        <v>40</v>
      </c>
      <c r="D23">
        <v>186</v>
      </c>
      <c r="E23" t="s">
        <v>26</v>
      </c>
      <c r="F23">
        <v>1.2</v>
      </c>
      <c r="G23" t="s">
        <v>11</v>
      </c>
    </row>
    <row r="24" spans="1:7" x14ac:dyDescent="0.35">
      <c r="A24" t="s">
        <v>71</v>
      </c>
      <c r="B24">
        <v>1</v>
      </c>
      <c r="C24" t="s">
        <v>168</v>
      </c>
      <c r="D24">
        <v>280</v>
      </c>
      <c r="E24" t="s">
        <v>26</v>
      </c>
      <c r="F24">
        <v>1.2</v>
      </c>
      <c r="G24" t="s">
        <v>11</v>
      </c>
    </row>
    <row r="25" spans="1:7" x14ac:dyDescent="0.35">
      <c r="A25" t="s">
        <v>72</v>
      </c>
      <c r="B25">
        <v>1</v>
      </c>
      <c r="C25" t="s">
        <v>40</v>
      </c>
      <c r="D25">
        <v>900</v>
      </c>
      <c r="E25" t="s">
        <v>26</v>
      </c>
      <c r="F25">
        <v>1.2</v>
      </c>
      <c r="G25" t="s">
        <v>11</v>
      </c>
    </row>
    <row r="26" spans="1:7" x14ac:dyDescent="0.35">
      <c r="A26" t="s">
        <v>73</v>
      </c>
      <c r="B26">
        <v>1</v>
      </c>
      <c r="C26" t="s">
        <v>167</v>
      </c>
      <c r="D26">
        <v>890</v>
      </c>
      <c r="E26" t="s">
        <v>26</v>
      </c>
      <c r="F26">
        <v>1.2</v>
      </c>
      <c r="G26" t="s">
        <v>11</v>
      </c>
    </row>
    <row r="27" spans="1:7" x14ac:dyDescent="0.35">
      <c r="A27" t="s">
        <v>74</v>
      </c>
      <c r="B27">
        <v>1</v>
      </c>
      <c r="C27" t="s">
        <v>167</v>
      </c>
      <c r="D27">
        <v>704</v>
      </c>
      <c r="E27" t="s">
        <v>26</v>
      </c>
      <c r="F27">
        <v>1.2</v>
      </c>
      <c r="G27" t="s">
        <v>11</v>
      </c>
    </row>
    <row r="28" spans="1:7" x14ac:dyDescent="0.35">
      <c r="A28" t="s">
        <v>75</v>
      </c>
      <c r="B28">
        <v>1</v>
      </c>
      <c r="C28" t="s">
        <v>167</v>
      </c>
      <c r="D28">
        <v>128</v>
      </c>
      <c r="E28" t="s">
        <v>26</v>
      </c>
      <c r="F28">
        <v>1.2</v>
      </c>
      <c r="G28" t="s">
        <v>11</v>
      </c>
    </row>
    <row r="29" spans="1:7" x14ac:dyDescent="0.35">
      <c r="A29" t="s">
        <v>76</v>
      </c>
      <c r="B29">
        <v>1</v>
      </c>
      <c r="C29" t="s">
        <v>168</v>
      </c>
      <c r="D29">
        <v>231</v>
      </c>
      <c r="E29" t="s">
        <v>26</v>
      </c>
      <c r="F29">
        <v>1.3</v>
      </c>
      <c r="G29" t="s">
        <v>572</v>
      </c>
    </row>
    <row r="30" spans="1:7" x14ac:dyDescent="0.35">
      <c r="A30" t="s">
        <v>77</v>
      </c>
      <c r="B30">
        <v>1</v>
      </c>
      <c r="C30" t="s">
        <v>167</v>
      </c>
      <c r="D30">
        <v>424</v>
      </c>
      <c r="E30" t="s">
        <v>26</v>
      </c>
      <c r="F30">
        <v>1.3</v>
      </c>
      <c r="G30" t="s">
        <v>572</v>
      </c>
    </row>
    <row r="31" spans="1:7" x14ac:dyDescent="0.35">
      <c r="A31" t="s">
        <v>78</v>
      </c>
      <c r="B31">
        <v>1</v>
      </c>
      <c r="C31" t="s">
        <v>40</v>
      </c>
      <c r="D31">
        <v>141</v>
      </c>
      <c r="E31" t="s">
        <v>26</v>
      </c>
      <c r="F31">
        <v>1.3</v>
      </c>
      <c r="G31" t="s">
        <v>572</v>
      </c>
    </row>
    <row r="32" spans="1:7" x14ac:dyDescent="0.35">
      <c r="A32" t="s">
        <v>79</v>
      </c>
      <c r="B32">
        <v>1</v>
      </c>
      <c r="C32" t="s">
        <v>40</v>
      </c>
      <c r="D32">
        <v>996</v>
      </c>
      <c r="E32" t="s">
        <v>26</v>
      </c>
      <c r="F32">
        <v>1.2</v>
      </c>
      <c r="G32" t="s">
        <v>11</v>
      </c>
    </row>
    <row r="33" spans="1:7" x14ac:dyDescent="0.35">
      <c r="A33" t="s">
        <v>80</v>
      </c>
      <c r="B33">
        <v>1</v>
      </c>
      <c r="C33" t="s">
        <v>40</v>
      </c>
      <c r="D33">
        <v>921</v>
      </c>
      <c r="E33" t="s">
        <v>26</v>
      </c>
      <c r="F33">
        <v>1.2</v>
      </c>
      <c r="G33" t="s">
        <v>11</v>
      </c>
    </row>
    <row r="34" spans="1:7" x14ac:dyDescent="0.35">
      <c r="A34" t="s">
        <v>81</v>
      </c>
      <c r="B34">
        <v>1</v>
      </c>
      <c r="C34" t="s">
        <v>40</v>
      </c>
      <c r="D34">
        <v>528</v>
      </c>
      <c r="E34" t="s">
        <v>26</v>
      </c>
      <c r="F34">
        <v>1.2</v>
      </c>
      <c r="G34" t="s">
        <v>11</v>
      </c>
    </row>
    <row r="35" spans="1:7" x14ac:dyDescent="0.35">
      <c r="A35" t="s">
        <v>82</v>
      </c>
      <c r="B35">
        <v>1</v>
      </c>
      <c r="C35" t="s">
        <v>40</v>
      </c>
      <c r="D35">
        <v>928</v>
      </c>
      <c r="E35" t="s">
        <v>26</v>
      </c>
      <c r="F35">
        <v>1.2</v>
      </c>
      <c r="G35" t="s">
        <v>11</v>
      </c>
    </row>
    <row r="36" spans="1:7" x14ac:dyDescent="0.35">
      <c r="A36" t="s">
        <v>83</v>
      </c>
      <c r="B36">
        <v>1</v>
      </c>
      <c r="C36" t="s">
        <v>167</v>
      </c>
      <c r="D36">
        <v>950</v>
      </c>
      <c r="E36" t="s">
        <v>26</v>
      </c>
      <c r="F36">
        <v>1.2</v>
      </c>
      <c r="G36" t="s">
        <v>11</v>
      </c>
    </row>
    <row r="37" spans="1:7" x14ac:dyDescent="0.35">
      <c r="A37" t="s">
        <v>84</v>
      </c>
      <c r="B37">
        <v>1</v>
      </c>
      <c r="C37" t="s">
        <v>168</v>
      </c>
      <c r="D37">
        <v>805</v>
      </c>
      <c r="E37" t="s">
        <v>26</v>
      </c>
      <c r="F37">
        <v>1.2</v>
      </c>
      <c r="G37" t="s">
        <v>11</v>
      </c>
    </row>
    <row r="38" spans="1:7" x14ac:dyDescent="0.35">
      <c r="A38" t="s">
        <v>85</v>
      </c>
      <c r="B38">
        <v>1</v>
      </c>
      <c r="C38" t="s">
        <v>40</v>
      </c>
      <c r="D38">
        <v>159</v>
      </c>
      <c r="E38" t="s">
        <v>26</v>
      </c>
      <c r="F38">
        <v>1.2</v>
      </c>
      <c r="G38" t="s">
        <v>11</v>
      </c>
    </row>
    <row r="39" spans="1:7" x14ac:dyDescent="0.35">
      <c r="A39" t="s">
        <v>86</v>
      </c>
      <c r="B39">
        <v>1</v>
      </c>
      <c r="C39" t="s">
        <v>168</v>
      </c>
      <c r="D39">
        <v>694</v>
      </c>
      <c r="E39" t="s">
        <v>26</v>
      </c>
      <c r="F39">
        <v>1.2</v>
      </c>
      <c r="G39" t="s">
        <v>11</v>
      </c>
    </row>
    <row r="40" spans="1:7" x14ac:dyDescent="0.35">
      <c r="A40" t="s">
        <v>87</v>
      </c>
      <c r="B40">
        <v>1</v>
      </c>
      <c r="C40" t="s">
        <v>40</v>
      </c>
      <c r="D40">
        <v>302</v>
      </c>
      <c r="E40" t="s">
        <v>26</v>
      </c>
      <c r="F40">
        <v>1.2</v>
      </c>
      <c r="G40" t="s">
        <v>11</v>
      </c>
    </row>
    <row r="41" spans="1:7" x14ac:dyDescent="0.35">
      <c r="A41" t="s">
        <v>88</v>
      </c>
      <c r="B41">
        <v>1</v>
      </c>
      <c r="C41" t="s">
        <v>40</v>
      </c>
      <c r="D41">
        <v>718</v>
      </c>
      <c r="E41" t="s">
        <v>26</v>
      </c>
      <c r="F41">
        <v>1.2</v>
      </c>
      <c r="G41" t="s">
        <v>11</v>
      </c>
    </row>
    <row r="42" spans="1:7" x14ac:dyDescent="0.35">
      <c r="A42" t="s">
        <v>89</v>
      </c>
      <c r="B42">
        <v>1</v>
      </c>
      <c r="C42" t="s">
        <v>168</v>
      </c>
      <c r="D42">
        <v>579</v>
      </c>
      <c r="E42" t="s">
        <v>26</v>
      </c>
      <c r="F42">
        <v>1.2</v>
      </c>
      <c r="G42" t="s">
        <v>11</v>
      </c>
    </row>
    <row r="43" spans="1:7" x14ac:dyDescent="0.35">
      <c r="A43" t="s">
        <v>90</v>
      </c>
      <c r="B43">
        <v>1</v>
      </c>
      <c r="C43" t="s">
        <v>40</v>
      </c>
      <c r="D43">
        <v>353</v>
      </c>
      <c r="E43" t="s">
        <v>26</v>
      </c>
      <c r="F43">
        <v>1.2</v>
      </c>
      <c r="G43" t="s">
        <v>11</v>
      </c>
    </row>
    <row r="44" spans="1:7" x14ac:dyDescent="0.35">
      <c r="A44" t="s">
        <v>91</v>
      </c>
      <c r="B44">
        <v>1</v>
      </c>
      <c r="C44" t="s">
        <v>167</v>
      </c>
      <c r="D44">
        <v>787</v>
      </c>
      <c r="E44" t="s">
        <v>26</v>
      </c>
      <c r="F44">
        <v>1.2</v>
      </c>
      <c r="G44" t="s">
        <v>11</v>
      </c>
    </row>
    <row r="45" spans="1:7" x14ac:dyDescent="0.35">
      <c r="A45" t="s">
        <v>92</v>
      </c>
      <c r="B45">
        <v>1</v>
      </c>
      <c r="C45" t="s">
        <v>40</v>
      </c>
      <c r="D45">
        <v>852</v>
      </c>
      <c r="E45" t="s">
        <v>26</v>
      </c>
      <c r="F45">
        <v>1.2</v>
      </c>
      <c r="G45" t="s">
        <v>11</v>
      </c>
    </row>
    <row r="46" spans="1:7" x14ac:dyDescent="0.35">
      <c r="A46" t="s">
        <v>93</v>
      </c>
      <c r="B46">
        <v>1</v>
      </c>
      <c r="C46" t="s">
        <v>40</v>
      </c>
      <c r="D46">
        <v>329</v>
      </c>
      <c r="E46" t="s">
        <v>26</v>
      </c>
      <c r="F46">
        <v>1.2</v>
      </c>
      <c r="G46" t="s">
        <v>11</v>
      </c>
    </row>
    <row r="47" spans="1:7" x14ac:dyDescent="0.35">
      <c r="A47" t="s">
        <v>94</v>
      </c>
      <c r="B47">
        <v>1</v>
      </c>
      <c r="C47" t="s">
        <v>167</v>
      </c>
      <c r="D47">
        <v>357</v>
      </c>
      <c r="E47" t="s">
        <v>26</v>
      </c>
      <c r="F47">
        <v>1.2</v>
      </c>
      <c r="G47" t="s">
        <v>11</v>
      </c>
    </row>
    <row r="48" spans="1:7" x14ac:dyDescent="0.35">
      <c r="A48" t="s">
        <v>95</v>
      </c>
      <c r="B48">
        <v>1</v>
      </c>
      <c r="C48" t="s">
        <v>167</v>
      </c>
      <c r="D48">
        <v>499</v>
      </c>
      <c r="E48" t="s">
        <v>26</v>
      </c>
      <c r="F48">
        <v>1.3</v>
      </c>
      <c r="G48" t="s">
        <v>572</v>
      </c>
    </row>
    <row r="49" spans="1:7" x14ac:dyDescent="0.35">
      <c r="A49" t="s">
        <v>96</v>
      </c>
      <c r="B49">
        <v>1</v>
      </c>
      <c r="C49" t="s">
        <v>168</v>
      </c>
      <c r="D49">
        <v>607</v>
      </c>
      <c r="E49" t="s">
        <v>26</v>
      </c>
      <c r="F49">
        <v>1.3</v>
      </c>
      <c r="G49" t="s">
        <v>572</v>
      </c>
    </row>
    <row r="50" spans="1:7" x14ac:dyDescent="0.35">
      <c r="A50" t="s">
        <v>97</v>
      </c>
      <c r="B50">
        <v>1</v>
      </c>
      <c r="C50" t="s">
        <v>40</v>
      </c>
      <c r="D50">
        <v>907</v>
      </c>
      <c r="E50" t="s">
        <v>26</v>
      </c>
      <c r="F50">
        <v>1.3</v>
      </c>
      <c r="G50" t="s">
        <v>572</v>
      </c>
    </row>
    <row r="51" spans="1:7" x14ac:dyDescent="0.35">
      <c r="A51" t="s">
        <v>98</v>
      </c>
      <c r="B51">
        <v>1</v>
      </c>
      <c r="C51" t="s">
        <v>40</v>
      </c>
      <c r="D51">
        <v>967</v>
      </c>
      <c r="E51" t="s">
        <v>26</v>
      </c>
      <c r="F51">
        <v>1.2</v>
      </c>
      <c r="G51" t="s">
        <v>11</v>
      </c>
    </row>
    <row r="52" spans="1:7" x14ac:dyDescent="0.35">
      <c r="A52" t="s">
        <v>99</v>
      </c>
      <c r="B52">
        <v>1</v>
      </c>
      <c r="C52" t="s">
        <v>167</v>
      </c>
      <c r="D52">
        <v>465</v>
      </c>
      <c r="E52" t="s">
        <v>26</v>
      </c>
      <c r="F52">
        <v>1.2</v>
      </c>
      <c r="G52" t="s">
        <v>11</v>
      </c>
    </row>
    <row r="53" spans="1:7" x14ac:dyDescent="0.35">
      <c r="A53" t="s">
        <v>100</v>
      </c>
      <c r="B53">
        <v>1</v>
      </c>
      <c r="C53" t="s">
        <v>168</v>
      </c>
      <c r="D53">
        <v>398</v>
      </c>
      <c r="E53" t="s">
        <v>26</v>
      </c>
      <c r="F53">
        <v>1.2</v>
      </c>
      <c r="G53" t="s">
        <v>11</v>
      </c>
    </row>
    <row r="54" spans="1:7" x14ac:dyDescent="0.35">
      <c r="A54" t="s">
        <v>101</v>
      </c>
      <c r="B54">
        <v>1</v>
      </c>
      <c r="C54" t="s">
        <v>168</v>
      </c>
      <c r="D54">
        <v>592</v>
      </c>
      <c r="E54" t="s">
        <v>26</v>
      </c>
      <c r="F54">
        <v>1.2</v>
      </c>
      <c r="G54" t="s">
        <v>11</v>
      </c>
    </row>
    <row r="55" spans="1:7" x14ac:dyDescent="0.35">
      <c r="A55" t="s">
        <v>102</v>
      </c>
      <c r="B55">
        <v>1</v>
      </c>
      <c r="C55" t="s">
        <v>40</v>
      </c>
      <c r="D55">
        <v>867</v>
      </c>
      <c r="E55" t="s">
        <v>26</v>
      </c>
      <c r="F55">
        <v>1.2</v>
      </c>
      <c r="G55" t="s">
        <v>11</v>
      </c>
    </row>
    <row r="56" spans="1:7" x14ac:dyDescent="0.35">
      <c r="A56" t="s">
        <v>103</v>
      </c>
      <c r="B56">
        <v>1</v>
      </c>
      <c r="C56" t="s">
        <v>40</v>
      </c>
      <c r="D56">
        <v>127</v>
      </c>
      <c r="E56" t="s">
        <v>26</v>
      </c>
      <c r="F56">
        <v>1.2</v>
      </c>
      <c r="G56" t="s">
        <v>11</v>
      </c>
    </row>
    <row r="57" spans="1:7" x14ac:dyDescent="0.35">
      <c r="A57" t="s">
        <v>104</v>
      </c>
      <c r="B57">
        <v>1</v>
      </c>
      <c r="C57" t="s">
        <v>40</v>
      </c>
      <c r="D57">
        <v>923</v>
      </c>
      <c r="E57" t="s">
        <v>26</v>
      </c>
      <c r="F57">
        <v>1.2</v>
      </c>
      <c r="G57" t="s">
        <v>11</v>
      </c>
    </row>
    <row r="58" spans="1:7" x14ac:dyDescent="0.35">
      <c r="A58" t="s">
        <v>105</v>
      </c>
      <c r="B58">
        <v>1</v>
      </c>
      <c r="C58" t="s">
        <v>167</v>
      </c>
      <c r="D58">
        <v>583</v>
      </c>
      <c r="E58" t="s">
        <v>26</v>
      </c>
      <c r="F58">
        <v>1.2</v>
      </c>
      <c r="G58" t="s">
        <v>572</v>
      </c>
    </row>
    <row r="59" spans="1:7" x14ac:dyDescent="0.35">
      <c r="A59" t="s">
        <v>106</v>
      </c>
      <c r="B59">
        <v>1</v>
      </c>
      <c r="C59" t="s">
        <v>168</v>
      </c>
      <c r="D59">
        <v>888</v>
      </c>
      <c r="E59" t="s">
        <v>26</v>
      </c>
      <c r="F59">
        <v>1.2</v>
      </c>
      <c r="G59" t="s">
        <v>572</v>
      </c>
    </row>
    <row r="60" spans="1:7" x14ac:dyDescent="0.35">
      <c r="A60" t="s">
        <v>107</v>
      </c>
      <c r="B60">
        <v>1</v>
      </c>
      <c r="C60" t="s">
        <v>168</v>
      </c>
      <c r="D60">
        <v>800</v>
      </c>
      <c r="E60" t="s">
        <v>26</v>
      </c>
      <c r="F60">
        <v>1.2</v>
      </c>
      <c r="G60" t="s">
        <v>572</v>
      </c>
    </row>
    <row r="61" spans="1:7" x14ac:dyDescent="0.35">
      <c r="A61" t="s">
        <v>108</v>
      </c>
      <c r="B61">
        <v>1</v>
      </c>
      <c r="C61" t="s">
        <v>167</v>
      </c>
      <c r="D61">
        <v>454</v>
      </c>
      <c r="E61" t="s">
        <v>26</v>
      </c>
      <c r="F61">
        <v>1.2</v>
      </c>
      <c r="G6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1"/>
  <sheetViews>
    <sheetView workbookViewId="0">
      <pane ySplit="1" topLeftCell="A2" activePane="bottomLeft" state="frozen"/>
      <selection pane="bottomLeft" sqref="A1:F1048576"/>
    </sheetView>
  </sheetViews>
  <sheetFormatPr baseColWidth="10" defaultColWidth="21.1796875" defaultRowHeight="14.5" x14ac:dyDescent="0.35"/>
  <sheetData>
    <row r="1" spans="1:8" x14ac:dyDescent="0.35">
      <c r="A1" t="s">
        <v>41</v>
      </c>
      <c r="B1" t="s">
        <v>174</v>
      </c>
      <c r="C1" t="s">
        <v>175</v>
      </c>
      <c r="D1" t="s">
        <v>164</v>
      </c>
      <c r="E1" t="s">
        <v>165</v>
      </c>
      <c r="F1" t="s">
        <v>3</v>
      </c>
      <c r="G1" t="s">
        <v>176</v>
      </c>
      <c r="H1" t="s">
        <v>571</v>
      </c>
    </row>
    <row r="2" spans="1:8" x14ac:dyDescent="0.35">
      <c r="A2" t="s">
        <v>177</v>
      </c>
      <c r="B2" t="s">
        <v>136</v>
      </c>
      <c r="C2" t="s">
        <v>39</v>
      </c>
      <c r="D2" t="s">
        <v>40</v>
      </c>
      <c r="E2">
        <v>1039</v>
      </c>
      <c r="F2" t="s">
        <v>26</v>
      </c>
      <c r="G2" t="s">
        <v>358</v>
      </c>
      <c r="H2">
        <f>DAY(Tbl_plant_outputs[[#This Row],[output_date]])</f>
        <v>1</v>
      </c>
    </row>
    <row r="3" spans="1:8" x14ac:dyDescent="0.35">
      <c r="A3" t="s">
        <v>178</v>
      </c>
      <c r="B3" t="s">
        <v>136</v>
      </c>
      <c r="C3" t="s">
        <v>39</v>
      </c>
      <c r="D3" t="s">
        <v>168</v>
      </c>
      <c r="E3">
        <v>548</v>
      </c>
      <c r="F3" t="s">
        <v>26</v>
      </c>
      <c r="G3" t="s">
        <v>359</v>
      </c>
      <c r="H3">
        <f>DAY(Tbl_plant_outputs[[#This Row],[output_date]])</f>
        <v>1</v>
      </c>
    </row>
    <row r="4" spans="1:8" x14ac:dyDescent="0.35">
      <c r="A4" t="s">
        <v>179</v>
      </c>
      <c r="B4" t="s">
        <v>136</v>
      </c>
      <c r="C4" t="s">
        <v>39</v>
      </c>
      <c r="D4" t="s">
        <v>167</v>
      </c>
      <c r="E4">
        <v>1208</v>
      </c>
      <c r="F4" t="s">
        <v>26</v>
      </c>
      <c r="G4" t="s">
        <v>360</v>
      </c>
      <c r="H4">
        <f>DAY(Tbl_plant_outputs[[#This Row],[output_date]])</f>
        <v>1</v>
      </c>
    </row>
    <row r="5" spans="1:8" x14ac:dyDescent="0.35">
      <c r="A5" t="s">
        <v>180</v>
      </c>
      <c r="B5" t="s">
        <v>136</v>
      </c>
      <c r="C5" t="s">
        <v>357</v>
      </c>
      <c r="D5" t="s">
        <v>40</v>
      </c>
      <c r="E5">
        <v>983</v>
      </c>
      <c r="F5" t="s">
        <v>26</v>
      </c>
      <c r="G5" t="s">
        <v>361</v>
      </c>
      <c r="H5">
        <f>DAY(Tbl_plant_outputs[[#This Row],[output_date]])</f>
        <v>1</v>
      </c>
    </row>
    <row r="6" spans="1:8" x14ac:dyDescent="0.35">
      <c r="A6" t="s">
        <v>181</v>
      </c>
      <c r="B6" t="s">
        <v>136</v>
      </c>
      <c r="C6" t="s">
        <v>357</v>
      </c>
      <c r="D6" t="s">
        <v>168</v>
      </c>
      <c r="E6">
        <v>1185</v>
      </c>
      <c r="F6" t="s">
        <v>26</v>
      </c>
      <c r="G6" t="s">
        <v>362</v>
      </c>
      <c r="H6">
        <f>DAY(Tbl_plant_outputs[[#This Row],[output_date]])</f>
        <v>1</v>
      </c>
    </row>
    <row r="7" spans="1:8" x14ac:dyDescent="0.35">
      <c r="A7" t="s">
        <v>182</v>
      </c>
      <c r="B7" t="s">
        <v>136</v>
      </c>
      <c r="C7" t="s">
        <v>357</v>
      </c>
      <c r="D7" t="s">
        <v>167</v>
      </c>
      <c r="E7">
        <v>616</v>
      </c>
      <c r="F7" t="s">
        <v>26</v>
      </c>
      <c r="G7" t="s">
        <v>363</v>
      </c>
      <c r="H7">
        <f>DAY(Tbl_plant_outputs[[#This Row],[output_date]])</f>
        <v>1</v>
      </c>
    </row>
    <row r="8" spans="1:8" x14ac:dyDescent="0.35">
      <c r="A8" t="s">
        <v>183</v>
      </c>
      <c r="B8" t="s">
        <v>137</v>
      </c>
      <c r="C8" t="s">
        <v>39</v>
      </c>
      <c r="D8" t="s">
        <v>40</v>
      </c>
      <c r="E8">
        <v>1353</v>
      </c>
      <c r="F8" t="s">
        <v>26</v>
      </c>
      <c r="G8" t="s">
        <v>364</v>
      </c>
      <c r="H8">
        <f>DAY(Tbl_plant_outputs[[#This Row],[output_date]])</f>
        <v>2</v>
      </c>
    </row>
    <row r="9" spans="1:8" x14ac:dyDescent="0.35">
      <c r="A9" t="s">
        <v>184</v>
      </c>
      <c r="B9" t="s">
        <v>137</v>
      </c>
      <c r="C9" t="s">
        <v>39</v>
      </c>
      <c r="D9" t="s">
        <v>168</v>
      </c>
      <c r="E9">
        <v>1451</v>
      </c>
      <c r="F9" t="s">
        <v>26</v>
      </c>
      <c r="G9" t="s">
        <v>365</v>
      </c>
      <c r="H9">
        <f>DAY(Tbl_plant_outputs[[#This Row],[output_date]])</f>
        <v>2</v>
      </c>
    </row>
    <row r="10" spans="1:8" x14ac:dyDescent="0.35">
      <c r="A10" t="s">
        <v>185</v>
      </c>
      <c r="B10" t="s">
        <v>137</v>
      </c>
      <c r="C10" t="s">
        <v>39</v>
      </c>
      <c r="D10" t="s">
        <v>167</v>
      </c>
      <c r="E10">
        <v>864</v>
      </c>
      <c r="F10" t="s">
        <v>26</v>
      </c>
      <c r="G10" t="s">
        <v>366</v>
      </c>
      <c r="H10">
        <f>DAY(Tbl_plant_outputs[[#This Row],[output_date]])</f>
        <v>2</v>
      </c>
    </row>
    <row r="11" spans="1:8" x14ac:dyDescent="0.35">
      <c r="A11" t="s">
        <v>186</v>
      </c>
      <c r="B11" t="s">
        <v>137</v>
      </c>
      <c r="C11" t="s">
        <v>357</v>
      </c>
      <c r="D11" t="s">
        <v>40</v>
      </c>
      <c r="E11">
        <v>925</v>
      </c>
      <c r="F11" t="s">
        <v>26</v>
      </c>
      <c r="G11" t="s">
        <v>367</v>
      </c>
      <c r="H11">
        <f>DAY(Tbl_plant_outputs[[#This Row],[output_date]])</f>
        <v>2</v>
      </c>
    </row>
    <row r="12" spans="1:8" x14ac:dyDescent="0.35">
      <c r="A12" t="s">
        <v>187</v>
      </c>
      <c r="B12" t="s">
        <v>137</v>
      </c>
      <c r="C12" t="s">
        <v>357</v>
      </c>
      <c r="D12" t="s">
        <v>168</v>
      </c>
      <c r="E12">
        <v>667</v>
      </c>
      <c r="F12" t="s">
        <v>26</v>
      </c>
      <c r="G12" t="s">
        <v>368</v>
      </c>
      <c r="H12">
        <f>DAY(Tbl_plant_outputs[[#This Row],[output_date]])</f>
        <v>2</v>
      </c>
    </row>
    <row r="13" spans="1:8" x14ac:dyDescent="0.35">
      <c r="A13" t="s">
        <v>188</v>
      </c>
      <c r="B13" t="s">
        <v>137</v>
      </c>
      <c r="C13" t="s">
        <v>357</v>
      </c>
      <c r="D13" t="s">
        <v>167</v>
      </c>
      <c r="E13">
        <v>939</v>
      </c>
      <c r="F13" t="s">
        <v>26</v>
      </c>
      <c r="G13" t="s">
        <v>369</v>
      </c>
      <c r="H13">
        <f>DAY(Tbl_plant_outputs[[#This Row],[output_date]])</f>
        <v>2</v>
      </c>
    </row>
    <row r="14" spans="1:8" x14ac:dyDescent="0.35">
      <c r="A14" t="s">
        <v>189</v>
      </c>
      <c r="B14" t="s">
        <v>148</v>
      </c>
      <c r="C14" t="s">
        <v>39</v>
      </c>
      <c r="D14" t="s">
        <v>40</v>
      </c>
      <c r="E14">
        <v>652</v>
      </c>
      <c r="F14" t="s">
        <v>26</v>
      </c>
      <c r="G14" t="s">
        <v>370</v>
      </c>
      <c r="H14">
        <f>DAY(Tbl_plant_outputs[[#This Row],[output_date]])</f>
        <v>3</v>
      </c>
    </row>
    <row r="15" spans="1:8" x14ac:dyDescent="0.35">
      <c r="A15" t="s">
        <v>190</v>
      </c>
      <c r="B15" t="s">
        <v>148</v>
      </c>
      <c r="C15" t="s">
        <v>39</v>
      </c>
      <c r="D15" t="s">
        <v>168</v>
      </c>
      <c r="E15">
        <v>797</v>
      </c>
      <c r="F15" t="s">
        <v>26</v>
      </c>
      <c r="G15" t="s">
        <v>371</v>
      </c>
      <c r="H15">
        <f>DAY(Tbl_plant_outputs[[#This Row],[output_date]])</f>
        <v>3</v>
      </c>
    </row>
    <row r="16" spans="1:8" x14ac:dyDescent="0.35">
      <c r="A16" t="s">
        <v>191</v>
      </c>
      <c r="B16" t="s">
        <v>148</v>
      </c>
      <c r="C16" t="s">
        <v>39</v>
      </c>
      <c r="D16" t="s">
        <v>167</v>
      </c>
      <c r="E16">
        <v>1480</v>
      </c>
      <c r="F16" t="s">
        <v>26</v>
      </c>
      <c r="G16" t="s">
        <v>372</v>
      </c>
      <c r="H16">
        <f>DAY(Tbl_plant_outputs[[#This Row],[output_date]])</f>
        <v>3</v>
      </c>
    </row>
    <row r="17" spans="1:8" x14ac:dyDescent="0.35">
      <c r="A17" t="s">
        <v>192</v>
      </c>
      <c r="B17" t="s">
        <v>148</v>
      </c>
      <c r="C17" t="s">
        <v>357</v>
      </c>
      <c r="D17" t="s">
        <v>40</v>
      </c>
      <c r="E17">
        <v>957</v>
      </c>
      <c r="F17" t="s">
        <v>26</v>
      </c>
      <c r="G17" t="s">
        <v>373</v>
      </c>
      <c r="H17">
        <f>DAY(Tbl_plant_outputs[[#This Row],[output_date]])</f>
        <v>3</v>
      </c>
    </row>
    <row r="18" spans="1:8" x14ac:dyDescent="0.35">
      <c r="A18" t="s">
        <v>193</v>
      </c>
      <c r="B18" t="s">
        <v>148</v>
      </c>
      <c r="C18" t="s">
        <v>357</v>
      </c>
      <c r="D18" t="s">
        <v>168</v>
      </c>
      <c r="E18">
        <v>1027</v>
      </c>
      <c r="F18" t="s">
        <v>26</v>
      </c>
      <c r="G18" t="s">
        <v>374</v>
      </c>
      <c r="H18">
        <f>DAY(Tbl_plant_outputs[[#This Row],[output_date]])</f>
        <v>3</v>
      </c>
    </row>
    <row r="19" spans="1:8" x14ac:dyDescent="0.35">
      <c r="A19" t="s">
        <v>194</v>
      </c>
      <c r="B19" t="s">
        <v>148</v>
      </c>
      <c r="C19" t="s">
        <v>357</v>
      </c>
      <c r="D19" t="s">
        <v>167</v>
      </c>
      <c r="E19">
        <v>1038</v>
      </c>
      <c r="F19" t="s">
        <v>26</v>
      </c>
      <c r="G19" t="s">
        <v>375</v>
      </c>
      <c r="H19">
        <f>DAY(Tbl_plant_outputs[[#This Row],[output_date]])</f>
        <v>3</v>
      </c>
    </row>
    <row r="20" spans="1:8" x14ac:dyDescent="0.35">
      <c r="A20" t="s">
        <v>195</v>
      </c>
      <c r="B20" t="s">
        <v>142</v>
      </c>
      <c r="C20" t="s">
        <v>39</v>
      </c>
      <c r="D20" t="s">
        <v>40</v>
      </c>
      <c r="E20">
        <v>893</v>
      </c>
      <c r="F20" t="s">
        <v>26</v>
      </c>
      <c r="G20" t="s">
        <v>376</v>
      </c>
      <c r="H20">
        <f>DAY(Tbl_plant_outputs[[#This Row],[output_date]])</f>
        <v>4</v>
      </c>
    </row>
    <row r="21" spans="1:8" x14ac:dyDescent="0.35">
      <c r="A21" t="s">
        <v>196</v>
      </c>
      <c r="B21" t="s">
        <v>142</v>
      </c>
      <c r="C21" t="s">
        <v>39</v>
      </c>
      <c r="D21" t="s">
        <v>168</v>
      </c>
      <c r="E21">
        <v>1244</v>
      </c>
      <c r="F21" t="s">
        <v>26</v>
      </c>
      <c r="G21" t="s">
        <v>377</v>
      </c>
      <c r="H21">
        <f>DAY(Tbl_plant_outputs[[#This Row],[output_date]])</f>
        <v>4</v>
      </c>
    </row>
    <row r="22" spans="1:8" x14ac:dyDescent="0.35">
      <c r="A22" t="s">
        <v>197</v>
      </c>
      <c r="B22" t="s">
        <v>142</v>
      </c>
      <c r="C22" t="s">
        <v>39</v>
      </c>
      <c r="D22" t="s">
        <v>167</v>
      </c>
      <c r="E22">
        <v>1044</v>
      </c>
      <c r="F22" t="s">
        <v>26</v>
      </c>
      <c r="G22" t="s">
        <v>378</v>
      </c>
      <c r="H22">
        <f>DAY(Tbl_plant_outputs[[#This Row],[output_date]])</f>
        <v>4</v>
      </c>
    </row>
    <row r="23" spans="1:8" x14ac:dyDescent="0.35">
      <c r="A23" t="s">
        <v>198</v>
      </c>
      <c r="B23" t="s">
        <v>142</v>
      </c>
      <c r="C23" t="s">
        <v>357</v>
      </c>
      <c r="D23" t="s">
        <v>40</v>
      </c>
      <c r="E23">
        <v>1011</v>
      </c>
      <c r="F23" t="s">
        <v>26</v>
      </c>
      <c r="G23" t="s">
        <v>379</v>
      </c>
      <c r="H23">
        <f>DAY(Tbl_plant_outputs[[#This Row],[output_date]])</f>
        <v>4</v>
      </c>
    </row>
    <row r="24" spans="1:8" x14ac:dyDescent="0.35">
      <c r="A24" t="s">
        <v>199</v>
      </c>
      <c r="B24" t="s">
        <v>142</v>
      </c>
      <c r="C24" t="s">
        <v>357</v>
      </c>
      <c r="D24" t="s">
        <v>168</v>
      </c>
      <c r="E24">
        <v>1047</v>
      </c>
      <c r="F24" t="s">
        <v>26</v>
      </c>
      <c r="G24" t="s">
        <v>380</v>
      </c>
      <c r="H24">
        <f>DAY(Tbl_plant_outputs[[#This Row],[output_date]])</f>
        <v>4</v>
      </c>
    </row>
    <row r="25" spans="1:8" x14ac:dyDescent="0.35">
      <c r="A25" t="s">
        <v>200</v>
      </c>
      <c r="B25" t="s">
        <v>142</v>
      </c>
      <c r="C25" t="s">
        <v>357</v>
      </c>
      <c r="D25" t="s">
        <v>167</v>
      </c>
      <c r="E25">
        <v>1430</v>
      </c>
      <c r="F25" t="s">
        <v>26</v>
      </c>
      <c r="G25" t="s">
        <v>381</v>
      </c>
      <c r="H25">
        <f>DAY(Tbl_plant_outputs[[#This Row],[output_date]])</f>
        <v>4</v>
      </c>
    </row>
    <row r="26" spans="1:8" x14ac:dyDescent="0.35">
      <c r="A26" t="s">
        <v>201</v>
      </c>
      <c r="B26" t="s">
        <v>141</v>
      </c>
      <c r="C26" t="s">
        <v>39</v>
      </c>
      <c r="D26" t="s">
        <v>40</v>
      </c>
      <c r="E26">
        <v>1054</v>
      </c>
      <c r="F26" t="s">
        <v>26</v>
      </c>
      <c r="G26" t="s">
        <v>382</v>
      </c>
      <c r="H26">
        <f>DAY(Tbl_plant_outputs[[#This Row],[output_date]])</f>
        <v>5</v>
      </c>
    </row>
    <row r="27" spans="1:8" x14ac:dyDescent="0.35">
      <c r="A27" t="s">
        <v>202</v>
      </c>
      <c r="B27" t="s">
        <v>141</v>
      </c>
      <c r="C27" t="s">
        <v>39</v>
      </c>
      <c r="D27" t="s">
        <v>168</v>
      </c>
      <c r="E27">
        <v>980</v>
      </c>
      <c r="F27" t="s">
        <v>26</v>
      </c>
      <c r="G27" t="s">
        <v>383</v>
      </c>
      <c r="H27">
        <f>DAY(Tbl_plant_outputs[[#This Row],[output_date]])</f>
        <v>5</v>
      </c>
    </row>
    <row r="28" spans="1:8" x14ac:dyDescent="0.35">
      <c r="A28" t="s">
        <v>203</v>
      </c>
      <c r="B28" t="s">
        <v>141</v>
      </c>
      <c r="C28" t="s">
        <v>39</v>
      </c>
      <c r="D28" t="s">
        <v>167</v>
      </c>
      <c r="E28">
        <v>1049</v>
      </c>
      <c r="F28" t="s">
        <v>26</v>
      </c>
      <c r="G28" t="s">
        <v>384</v>
      </c>
      <c r="H28">
        <f>DAY(Tbl_plant_outputs[[#This Row],[output_date]])</f>
        <v>5</v>
      </c>
    </row>
    <row r="29" spans="1:8" x14ac:dyDescent="0.35">
      <c r="A29" t="s">
        <v>204</v>
      </c>
      <c r="B29" t="s">
        <v>141</v>
      </c>
      <c r="C29" t="s">
        <v>357</v>
      </c>
      <c r="D29" t="s">
        <v>40</v>
      </c>
      <c r="E29">
        <v>548</v>
      </c>
      <c r="F29" t="s">
        <v>26</v>
      </c>
      <c r="G29" t="s">
        <v>385</v>
      </c>
      <c r="H29">
        <f>DAY(Tbl_plant_outputs[[#This Row],[output_date]])</f>
        <v>5</v>
      </c>
    </row>
    <row r="30" spans="1:8" x14ac:dyDescent="0.35">
      <c r="A30" t="s">
        <v>205</v>
      </c>
      <c r="B30" t="s">
        <v>141</v>
      </c>
      <c r="C30" t="s">
        <v>357</v>
      </c>
      <c r="D30" t="s">
        <v>168</v>
      </c>
      <c r="E30">
        <v>1215</v>
      </c>
      <c r="F30" t="s">
        <v>26</v>
      </c>
      <c r="G30" t="s">
        <v>386</v>
      </c>
      <c r="H30">
        <f>DAY(Tbl_plant_outputs[[#This Row],[output_date]])</f>
        <v>5</v>
      </c>
    </row>
    <row r="31" spans="1:8" x14ac:dyDescent="0.35">
      <c r="A31" t="s">
        <v>206</v>
      </c>
      <c r="B31" t="s">
        <v>141</v>
      </c>
      <c r="C31" t="s">
        <v>357</v>
      </c>
      <c r="D31" t="s">
        <v>167</v>
      </c>
      <c r="E31">
        <v>939</v>
      </c>
      <c r="F31" t="s">
        <v>26</v>
      </c>
      <c r="G31" t="s">
        <v>387</v>
      </c>
      <c r="H31">
        <f>DAY(Tbl_plant_outputs[[#This Row],[output_date]])</f>
        <v>5</v>
      </c>
    </row>
    <row r="32" spans="1:8" x14ac:dyDescent="0.35">
      <c r="A32" t="s">
        <v>207</v>
      </c>
      <c r="B32" t="s">
        <v>150</v>
      </c>
      <c r="C32" t="s">
        <v>39</v>
      </c>
      <c r="D32" t="s">
        <v>40</v>
      </c>
      <c r="E32">
        <v>1057</v>
      </c>
      <c r="F32" t="s">
        <v>26</v>
      </c>
      <c r="G32" t="s">
        <v>388</v>
      </c>
      <c r="H32">
        <f>DAY(Tbl_plant_outputs[[#This Row],[output_date]])</f>
        <v>6</v>
      </c>
    </row>
    <row r="33" spans="1:8" x14ac:dyDescent="0.35">
      <c r="A33" t="s">
        <v>208</v>
      </c>
      <c r="B33" t="s">
        <v>150</v>
      </c>
      <c r="C33" t="s">
        <v>39</v>
      </c>
      <c r="D33" t="s">
        <v>168</v>
      </c>
      <c r="E33">
        <v>1491</v>
      </c>
      <c r="F33" t="s">
        <v>26</v>
      </c>
      <c r="G33" t="s">
        <v>389</v>
      </c>
      <c r="H33">
        <f>DAY(Tbl_plant_outputs[[#This Row],[output_date]])</f>
        <v>6</v>
      </c>
    </row>
    <row r="34" spans="1:8" x14ac:dyDescent="0.35">
      <c r="A34" t="s">
        <v>209</v>
      </c>
      <c r="B34" t="s">
        <v>150</v>
      </c>
      <c r="C34" t="s">
        <v>39</v>
      </c>
      <c r="D34" t="s">
        <v>167</v>
      </c>
      <c r="E34">
        <v>1320</v>
      </c>
      <c r="F34" t="s">
        <v>26</v>
      </c>
      <c r="G34" t="s">
        <v>390</v>
      </c>
      <c r="H34">
        <f>DAY(Tbl_plant_outputs[[#This Row],[output_date]])</f>
        <v>6</v>
      </c>
    </row>
    <row r="35" spans="1:8" x14ac:dyDescent="0.35">
      <c r="A35" t="s">
        <v>210</v>
      </c>
      <c r="B35" t="s">
        <v>150</v>
      </c>
      <c r="C35" t="s">
        <v>357</v>
      </c>
      <c r="D35" t="s">
        <v>40</v>
      </c>
      <c r="E35">
        <v>1329</v>
      </c>
      <c r="F35" t="s">
        <v>26</v>
      </c>
      <c r="G35" t="s">
        <v>391</v>
      </c>
      <c r="H35">
        <f>DAY(Tbl_plant_outputs[[#This Row],[output_date]])</f>
        <v>6</v>
      </c>
    </row>
    <row r="36" spans="1:8" x14ac:dyDescent="0.35">
      <c r="A36" t="s">
        <v>211</v>
      </c>
      <c r="B36" t="s">
        <v>150</v>
      </c>
      <c r="C36" t="s">
        <v>357</v>
      </c>
      <c r="D36" t="s">
        <v>168</v>
      </c>
      <c r="E36">
        <v>650</v>
      </c>
      <c r="F36" t="s">
        <v>26</v>
      </c>
      <c r="G36" t="s">
        <v>392</v>
      </c>
      <c r="H36">
        <f>DAY(Tbl_plant_outputs[[#This Row],[output_date]])</f>
        <v>6</v>
      </c>
    </row>
    <row r="37" spans="1:8" x14ac:dyDescent="0.35">
      <c r="A37" t="s">
        <v>212</v>
      </c>
      <c r="B37" t="s">
        <v>150</v>
      </c>
      <c r="C37" t="s">
        <v>357</v>
      </c>
      <c r="D37" t="s">
        <v>167</v>
      </c>
      <c r="E37">
        <v>1246</v>
      </c>
      <c r="F37" t="s">
        <v>26</v>
      </c>
      <c r="G37" t="s">
        <v>393</v>
      </c>
      <c r="H37">
        <f>DAY(Tbl_plant_outputs[[#This Row],[output_date]])</f>
        <v>6</v>
      </c>
    </row>
    <row r="38" spans="1:8" x14ac:dyDescent="0.35">
      <c r="A38" t="s">
        <v>213</v>
      </c>
      <c r="B38" t="s">
        <v>144</v>
      </c>
      <c r="C38" t="s">
        <v>39</v>
      </c>
      <c r="D38" t="s">
        <v>40</v>
      </c>
      <c r="E38">
        <v>1451</v>
      </c>
      <c r="F38" t="s">
        <v>26</v>
      </c>
      <c r="G38" t="s">
        <v>394</v>
      </c>
      <c r="H38">
        <f>DAY(Tbl_plant_outputs[[#This Row],[output_date]])</f>
        <v>7</v>
      </c>
    </row>
    <row r="39" spans="1:8" x14ac:dyDescent="0.35">
      <c r="A39" t="s">
        <v>214</v>
      </c>
      <c r="B39" t="s">
        <v>144</v>
      </c>
      <c r="C39" t="s">
        <v>39</v>
      </c>
      <c r="D39" t="s">
        <v>168</v>
      </c>
      <c r="E39">
        <v>1074</v>
      </c>
      <c r="F39" t="s">
        <v>26</v>
      </c>
      <c r="G39" t="s">
        <v>395</v>
      </c>
      <c r="H39">
        <f>DAY(Tbl_plant_outputs[[#This Row],[output_date]])</f>
        <v>7</v>
      </c>
    </row>
    <row r="40" spans="1:8" x14ac:dyDescent="0.35">
      <c r="A40" t="s">
        <v>215</v>
      </c>
      <c r="B40" t="s">
        <v>144</v>
      </c>
      <c r="C40" t="s">
        <v>39</v>
      </c>
      <c r="D40" t="s">
        <v>167</v>
      </c>
      <c r="E40">
        <v>856</v>
      </c>
      <c r="F40" t="s">
        <v>26</v>
      </c>
      <c r="G40" t="s">
        <v>396</v>
      </c>
      <c r="H40">
        <f>DAY(Tbl_plant_outputs[[#This Row],[output_date]])</f>
        <v>7</v>
      </c>
    </row>
    <row r="41" spans="1:8" x14ac:dyDescent="0.35">
      <c r="A41" t="s">
        <v>216</v>
      </c>
      <c r="B41" t="s">
        <v>144</v>
      </c>
      <c r="C41" t="s">
        <v>357</v>
      </c>
      <c r="D41" t="s">
        <v>40</v>
      </c>
      <c r="E41">
        <v>933</v>
      </c>
      <c r="F41" t="s">
        <v>26</v>
      </c>
      <c r="G41" t="s">
        <v>397</v>
      </c>
      <c r="H41">
        <f>DAY(Tbl_plant_outputs[[#This Row],[output_date]])</f>
        <v>7</v>
      </c>
    </row>
    <row r="42" spans="1:8" x14ac:dyDescent="0.35">
      <c r="A42" t="s">
        <v>217</v>
      </c>
      <c r="B42" t="s">
        <v>144</v>
      </c>
      <c r="C42" t="s">
        <v>357</v>
      </c>
      <c r="D42" t="s">
        <v>168</v>
      </c>
      <c r="E42">
        <v>1223</v>
      </c>
      <c r="F42" t="s">
        <v>26</v>
      </c>
      <c r="G42" t="s">
        <v>398</v>
      </c>
      <c r="H42">
        <f>DAY(Tbl_plant_outputs[[#This Row],[output_date]])</f>
        <v>7</v>
      </c>
    </row>
    <row r="43" spans="1:8" x14ac:dyDescent="0.35">
      <c r="A43" t="s">
        <v>218</v>
      </c>
      <c r="B43" t="s">
        <v>144</v>
      </c>
      <c r="C43" t="s">
        <v>357</v>
      </c>
      <c r="D43" t="s">
        <v>167</v>
      </c>
      <c r="E43">
        <v>1351</v>
      </c>
      <c r="F43" t="s">
        <v>26</v>
      </c>
      <c r="G43" t="s">
        <v>399</v>
      </c>
      <c r="H43">
        <f>DAY(Tbl_plant_outputs[[#This Row],[output_date]])</f>
        <v>7</v>
      </c>
    </row>
    <row r="44" spans="1:8" x14ac:dyDescent="0.35">
      <c r="A44" t="s">
        <v>219</v>
      </c>
      <c r="B44" t="s">
        <v>145</v>
      </c>
      <c r="C44" t="s">
        <v>39</v>
      </c>
      <c r="D44" t="s">
        <v>40</v>
      </c>
      <c r="E44">
        <v>650</v>
      </c>
      <c r="F44" t="s">
        <v>26</v>
      </c>
      <c r="G44" t="s">
        <v>400</v>
      </c>
      <c r="H44">
        <f>DAY(Tbl_plant_outputs[[#This Row],[output_date]])</f>
        <v>8</v>
      </c>
    </row>
    <row r="45" spans="1:8" x14ac:dyDescent="0.35">
      <c r="A45" t="s">
        <v>220</v>
      </c>
      <c r="B45" t="s">
        <v>145</v>
      </c>
      <c r="C45" t="s">
        <v>39</v>
      </c>
      <c r="D45" t="s">
        <v>168</v>
      </c>
      <c r="E45">
        <v>1201</v>
      </c>
      <c r="F45" t="s">
        <v>26</v>
      </c>
      <c r="G45" t="s">
        <v>401</v>
      </c>
      <c r="H45">
        <f>DAY(Tbl_plant_outputs[[#This Row],[output_date]])</f>
        <v>8</v>
      </c>
    </row>
    <row r="46" spans="1:8" x14ac:dyDescent="0.35">
      <c r="A46" t="s">
        <v>221</v>
      </c>
      <c r="B46" t="s">
        <v>145</v>
      </c>
      <c r="C46" t="s">
        <v>39</v>
      </c>
      <c r="D46" t="s">
        <v>167</v>
      </c>
      <c r="E46">
        <v>878</v>
      </c>
      <c r="F46" t="s">
        <v>26</v>
      </c>
      <c r="G46" t="s">
        <v>402</v>
      </c>
      <c r="H46">
        <f>DAY(Tbl_plant_outputs[[#This Row],[output_date]])</f>
        <v>8</v>
      </c>
    </row>
    <row r="47" spans="1:8" x14ac:dyDescent="0.35">
      <c r="A47" t="s">
        <v>222</v>
      </c>
      <c r="B47" t="s">
        <v>145</v>
      </c>
      <c r="C47" t="s">
        <v>357</v>
      </c>
      <c r="D47" t="s">
        <v>40</v>
      </c>
      <c r="E47">
        <v>1485</v>
      </c>
      <c r="F47" t="s">
        <v>26</v>
      </c>
      <c r="G47" t="s">
        <v>403</v>
      </c>
      <c r="H47">
        <f>DAY(Tbl_plant_outputs[[#This Row],[output_date]])</f>
        <v>8</v>
      </c>
    </row>
    <row r="48" spans="1:8" x14ac:dyDescent="0.35">
      <c r="A48" t="s">
        <v>223</v>
      </c>
      <c r="B48" t="s">
        <v>145</v>
      </c>
      <c r="C48" t="s">
        <v>357</v>
      </c>
      <c r="D48" t="s">
        <v>168</v>
      </c>
      <c r="E48">
        <v>1111</v>
      </c>
      <c r="F48" t="s">
        <v>26</v>
      </c>
      <c r="G48" t="s">
        <v>404</v>
      </c>
      <c r="H48">
        <f>DAY(Tbl_plant_outputs[[#This Row],[output_date]])</f>
        <v>8</v>
      </c>
    </row>
    <row r="49" spans="1:8" x14ac:dyDescent="0.35">
      <c r="A49" t="s">
        <v>224</v>
      </c>
      <c r="B49" t="s">
        <v>145</v>
      </c>
      <c r="C49" t="s">
        <v>357</v>
      </c>
      <c r="D49" t="s">
        <v>167</v>
      </c>
      <c r="E49">
        <v>543</v>
      </c>
      <c r="F49" t="s">
        <v>26</v>
      </c>
      <c r="G49" t="s">
        <v>405</v>
      </c>
      <c r="H49">
        <f>DAY(Tbl_plant_outputs[[#This Row],[output_date]])</f>
        <v>8</v>
      </c>
    </row>
    <row r="50" spans="1:8" x14ac:dyDescent="0.35">
      <c r="A50" t="s">
        <v>225</v>
      </c>
      <c r="B50" t="s">
        <v>135</v>
      </c>
      <c r="C50" t="s">
        <v>39</v>
      </c>
      <c r="D50" t="s">
        <v>40</v>
      </c>
      <c r="E50">
        <v>1376</v>
      </c>
      <c r="F50" t="s">
        <v>26</v>
      </c>
      <c r="G50" t="s">
        <v>406</v>
      </c>
      <c r="H50">
        <f>DAY(Tbl_plant_outputs[[#This Row],[output_date]])</f>
        <v>9</v>
      </c>
    </row>
    <row r="51" spans="1:8" x14ac:dyDescent="0.35">
      <c r="A51" t="s">
        <v>226</v>
      </c>
      <c r="B51" t="s">
        <v>135</v>
      </c>
      <c r="C51" t="s">
        <v>39</v>
      </c>
      <c r="D51" t="s">
        <v>168</v>
      </c>
      <c r="E51">
        <v>1492</v>
      </c>
      <c r="F51" t="s">
        <v>26</v>
      </c>
      <c r="G51" t="s">
        <v>407</v>
      </c>
      <c r="H51">
        <f>DAY(Tbl_plant_outputs[[#This Row],[output_date]])</f>
        <v>9</v>
      </c>
    </row>
    <row r="52" spans="1:8" x14ac:dyDescent="0.35">
      <c r="A52" t="s">
        <v>227</v>
      </c>
      <c r="B52" t="s">
        <v>135</v>
      </c>
      <c r="C52" t="s">
        <v>39</v>
      </c>
      <c r="D52" t="s">
        <v>167</v>
      </c>
      <c r="E52">
        <v>1355</v>
      </c>
      <c r="F52" t="s">
        <v>26</v>
      </c>
      <c r="G52" t="s">
        <v>408</v>
      </c>
      <c r="H52">
        <f>DAY(Tbl_plant_outputs[[#This Row],[output_date]])</f>
        <v>9</v>
      </c>
    </row>
    <row r="53" spans="1:8" x14ac:dyDescent="0.35">
      <c r="A53" t="s">
        <v>228</v>
      </c>
      <c r="B53" t="s">
        <v>135</v>
      </c>
      <c r="C53" t="s">
        <v>357</v>
      </c>
      <c r="D53" t="s">
        <v>40</v>
      </c>
      <c r="E53">
        <v>822</v>
      </c>
      <c r="F53" t="s">
        <v>26</v>
      </c>
      <c r="G53" t="s">
        <v>409</v>
      </c>
      <c r="H53">
        <f>DAY(Tbl_plant_outputs[[#This Row],[output_date]])</f>
        <v>9</v>
      </c>
    </row>
    <row r="54" spans="1:8" x14ac:dyDescent="0.35">
      <c r="A54" t="s">
        <v>229</v>
      </c>
      <c r="B54" t="s">
        <v>135</v>
      </c>
      <c r="C54" t="s">
        <v>357</v>
      </c>
      <c r="D54" t="s">
        <v>168</v>
      </c>
      <c r="E54">
        <v>825</v>
      </c>
      <c r="F54" t="s">
        <v>26</v>
      </c>
      <c r="G54" t="s">
        <v>410</v>
      </c>
      <c r="H54">
        <f>DAY(Tbl_plant_outputs[[#This Row],[output_date]])</f>
        <v>9</v>
      </c>
    </row>
    <row r="55" spans="1:8" x14ac:dyDescent="0.35">
      <c r="A55" t="s">
        <v>230</v>
      </c>
      <c r="B55" t="s">
        <v>135</v>
      </c>
      <c r="C55" t="s">
        <v>357</v>
      </c>
      <c r="D55" t="s">
        <v>167</v>
      </c>
      <c r="E55">
        <v>1212</v>
      </c>
      <c r="F55" t="s">
        <v>26</v>
      </c>
      <c r="G55" t="s">
        <v>411</v>
      </c>
      <c r="H55">
        <f>DAY(Tbl_plant_outputs[[#This Row],[output_date]])</f>
        <v>9</v>
      </c>
    </row>
    <row r="56" spans="1:8" x14ac:dyDescent="0.35">
      <c r="A56" t="s">
        <v>231</v>
      </c>
      <c r="B56" t="s">
        <v>153</v>
      </c>
      <c r="C56" t="s">
        <v>39</v>
      </c>
      <c r="D56" t="s">
        <v>40</v>
      </c>
      <c r="E56">
        <v>518</v>
      </c>
      <c r="F56" t="s">
        <v>26</v>
      </c>
      <c r="G56" t="s">
        <v>412</v>
      </c>
      <c r="H56">
        <f>DAY(Tbl_plant_outputs[[#This Row],[output_date]])</f>
        <v>10</v>
      </c>
    </row>
    <row r="57" spans="1:8" x14ac:dyDescent="0.35">
      <c r="A57" t="s">
        <v>232</v>
      </c>
      <c r="B57" t="s">
        <v>153</v>
      </c>
      <c r="C57" t="s">
        <v>39</v>
      </c>
      <c r="D57" t="s">
        <v>168</v>
      </c>
      <c r="E57">
        <v>863</v>
      </c>
      <c r="F57" t="s">
        <v>26</v>
      </c>
      <c r="G57" t="s">
        <v>413</v>
      </c>
      <c r="H57">
        <f>DAY(Tbl_plant_outputs[[#This Row],[output_date]])</f>
        <v>10</v>
      </c>
    </row>
    <row r="58" spans="1:8" x14ac:dyDescent="0.35">
      <c r="A58" t="s">
        <v>233</v>
      </c>
      <c r="B58" t="s">
        <v>153</v>
      </c>
      <c r="C58" t="s">
        <v>39</v>
      </c>
      <c r="D58" t="s">
        <v>167</v>
      </c>
      <c r="E58">
        <v>692</v>
      </c>
      <c r="F58" t="s">
        <v>26</v>
      </c>
      <c r="G58" t="s">
        <v>414</v>
      </c>
      <c r="H58">
        <f>DAY(Tbl_plant_outputs[[#This Row],[output_date]])</f>
        <v>10</v>
      </c>
    </row>
    <row r="59" spans="1:8" x14ac:dyDescent="0.35">
      <c r="A59" t="s">
        <v>234</v>
      </c>
      <c r="B59" t="s">
        <v>153</v>
      </c>
      <c r="C59" t="s">
        <v>357</v>
      </c>
      <c r="D59" t="s">
        <v>40</v>
      </c>
      <c r="E59">
        <v>914</v>
      </c>
      <c r="F59" t="s">
        <v>26</v>
      </c>
      <c r="G59" t="s">
        <v>415</v>
      </c>
      <c r="H59">
        <f>DAY(Tbl_plant_outputs[[#This Row],[output_date]])</f>
        <v>10</v>
      </c>
    </row>
    <row r="60" spans="1:8" x14ac:dyDescent="0.35">
      <c r="A60" t="s">
        <v>235</v>
      </c>
      <c r="B60" t="s">
        <v>153</v>
      </c>
      <c r="C60" t="s">
        <v>357</v>
      </c>
      <c r="D60" t="s">
        <v>168</v>
      </c>
      <c r="E60">
        <v>1104</v>
      </c>
      <c r="F60" t="s">
        <v>26</v>
      </c>
      <c r="G60" t="s">
        <v>416</v>
      </c>
      <c r="H60">
        <f>DAY(Tbl_plant_outputs[[#This Row],[output_date]])</f>
        <v>10</v>
      </c>
    </row>
    <row r="61" spans="1:8" x14ac:dyDescent="0.35">
      <c r="A61" t="s">
        <v>236</v>
      </c>
      <c r="B61" t="s">
        <v>153</v>
      </c>
      <c r="C61" t="s">
        <v>357</v>
      </c>
      <c r="D61" t="s">
        <v>167</v>
      </c>
      <c r="E61">
        <v>1315</v>
      </c>
      <c r="F61" t="s">
        <v>26</v>
      </c>
      <c r="G61" t="s">
        <v>417</v>
      </c>
      <c r="H61">
        <f>DAY(Tbl_plant_outputs[[#This Row],[output_date]])</f>
        <v>10</v>
      </c>
    </row>
    <row r="62" spans="1:8" x14ac:dyDescent="0.35">
      <c r="A62" t="s">
        <v>237</v>
      </c>
      <c r="B62" t="s">
        <v>151</v>
      </c>
      <c r="C62" t="s">
        <v>39</v>
      </c>
      <c r="D62" t="s">
        <v>40</v>
      </c>
      <c r="E62">
        <v>1188</v>
      </c>
      <c r="F62" t="s">
        <v>26</v>
      </c>
      <c r="G62" t="s">
        <v>418</v>
      </c>
      <c r="H62">
        <f>DAY(Tbl_plant_outputs[[#This Row],[output_date]])</f>
        <v>11</v>
      </c>
    </row>
    <row r="63" spans="1:8" x14ac:dyDescent="0.35">
      <c r="A63" t="s">
        <v>238</v>
      </c>
      <c r="B63" t="s">
        <v>151</v>
      </c>
      <c r="C63" t="s">
        <v>39</v>
      </c>
      <c r="D63" t="s">
        <v>168</v>
      </c>
      <c r="E63">
        <v>696</v>
      </c>
      <c r="F63" t="s">
        <v>26</v>
      </c>
      <c r="G63" t="s">
        <v>419</v>
      </c>
      <c r="H63">
        <f>DAY(Tbl_plant_outputs[[#This Row],[output_date]])</f>
        <v>11</v>
      </c>
    </row>
    <row r="64" spans="1:8" x14ac:dyDescent="0.35">
      <c r="A64" t="s">
        <v>239</v>
      </c>
      <c r="B64" t="s">
        <v>151</v>
      </c>
      <c r="C64" t="s">
        <v>39</v>
      </c>
      <c r="D64" t="s">
        <v>167</v>
      </c>
      <c r="E64">
        <v>982</v>
      </c>
      <c r="F64" t="s">
        <v>26</v>
      </c>
      <c r="G64" t="s">
        <v>420</v>
      </c>
      <c r="H64">
        <f>DAY(Tbl_plant_outputs[[#This Row],[output_date]])</f>
        <v>11</v>
      </c>
    </row>
    <row r="65" spans="1:8" x14ac:dyDescent="0.35">
      <c r="A65" t="s">
        <v>240</v>
      </c>
      <c r="B65" t="s">
        <v>151</v>
      </c>
      <c r="C65" t="s">
        <v>357</v>
      </c>
      <c r="D65" t="s">
        <v>40</v>
      </c>
      <c r="E65">
        <v>1307</v>
      </c>
      <c r="F65" t="s">
        <v>26</v>
      </c>
      <c r="G65" t="s">
        <v>421</v>
      </c>
      <c r="H65">
        <f>DAY(Tbl_plant_outputs[[#This Row],[output_date]])</f>
        <v>11</v>
      </c>
    </row>
    <row r="66" spans="1:8" x14ac:dyDescent="0.35">
      <c r="A66" t="s">
        <v>241</v>
      </c>
      <c r="B66" t="s">
        <v>151</v>
      </c>
      <c r="C66" t="s">
        <v>357</v>
      </c>
      <c r="D66" t="s">
        <v>168</v>
      </c>
      <c r="E66">
        <v>696</v>
      </c>
      <c r="F66" t="s">
        <v>26</v>
      </c>
      <c r="G66" t="s">
        <v>422</v>
      </c>
      <c r="H66">
        <f>DAY(Tbl_plant_outputs[[#This Row],[output_date]])</f>
        <v>11</v>
      </c>
    </row>
    <row r="67" spans="1:8" x14ac:dyDescent="0.35">
      <c r="A67" t="s">
        <v>242</v>
      </c>
      <c r="B67" t="s">
        <v>151</v>
      </c>
      <c r="C67" t="s">
        <v>357</v>
      </c>
      <c r="D67" t="s">
        <v>167</v>
      </c>
      <c r="E67">
        <v>733</v>
      </c>
      <c r="F67" t="s">
        <v>26</v>
      </c>
      <c r="G67" t="s">
        <v>423</v>
      </c>
      <c r="H67">
        <f>DAY(Tbl_plant_outputs[[#This Row],[output_date]])</f>
        <v>11</v>
      </c>
    </row>
    <row r="68" spans="1:8" x14ac:dyDescent="0.35">
      <c r="A68" t="s">
        <v>243</v>
      </c>
      <c r="B68" t="s">
        <v>140</v>
      </c>
      <c r="C68" t="s">
        <v>39</v>
      </c>
      <c r="D68" t="s">
        <v>40</v>
      </c>
      <c r="E68">
        <v>1487</v>
      </c>
      <c r="F68" t="s">
        <v>26</v>
      </c>
      <c r="G68" t="s">
        <v>424</v>
      </c>
      <c r="H68">
        <f>DAY(Tbl_plant_outputs[[#This Row],[output_date]])</f>
        <v>12</v>
      </c>
    </row>
    <row r="69" spans="1:8" x14ac:dyDescent="0.35">
      <c r="A69" t="s">
        <v>244</v>
      </c>
      <c r="B69" t="s">
        <v>140</v>
      </c>
      <c r="C69" t="s">
        <v>39</v>
      </c>
      <c r="D69" t="s">
        <v>168</v>
      </c>
      <c r="E69">
        <v>1199</v>
      </c>
      <c r="F69" t="s">
        <v>26</v>
      </c>
      <c r="G69" t="s">
        <v>425</v>
      </c>
      <c r="H69">
        <f>DAY(Tbl_plant_outputs[[#This Row],[output_date]])</f>
        <v>12</v>
      </c>
    </row>
    <row r="70" spans="1:8" x14ac:dyDescent="0.35">
      <c r="A70" t="s">
        <v>245</v>
      </c>
      <c r="B70" t="s">
        <v>140</v>
      </c>
      <c r="C70" t="s">
        <v>39</v>
      </c>
      <c r="D70" t="s">
        <v>167</v>
      </c>
      <c r="E70">
        <v>880</v>
      </c>
      <c r="F70" t="s">
        <v>26</v>
      </c>
      <c r="G70" t="s">
        <v>426</v>
      </c>
      <c r="H70">
        <f>DAY(Tbl_plant_outputs[[#This Row],[output_date]])</f>
        <v>12</v>
      </c>
    </row>
    <row r="71" spans="1:8" x14ac:dyDescent="0.35">
      <c r="A71" t="s">
        <v>246</v>
      </c>
      <c r="B71" t="s">
        <v>140</v>
      </c>
      <c r="C71" t="s">
        <v>357</v>
      </c>
      <c r="D71" t="s">
        <v>40</v>
      </c>
      <c r="E71">
        <v>850</v>
      </c>
      <c r="F71" t="s">
        <v>26</v>
      </c>
      <c r="G71" t="s">
        <v>427</v>
      </c>
      <c r="H71">
        <f>DAY(Tbl_plant_outputs[[#This Row],[output_date]])</f>
        <v>12</v>
      </c>
    </row>
    <row r="72" spans="1:8" x14ac:dyDescent="0.35">
      <c r="A72" t="s">
        <v>247</v>
      </c>
      <c r="B72" t="s">
        <v>140</v>
      </c>
      <c r="C72" t="s">
        <v>357</v>
      </c>
      <c r="D72" t="s">
        <v>168</v>
      </c>
      <c r="E72">
        <v>1113</v>
      </c>
      <c r="F72" t="s">
        <v>26</v>
      </c>
      <c r="G72" t="s">
        <v>428</v>
      </c>
      <c r="H72">
        <f>DAY(Tbl_plant_outputs[[#This Row],[output_date]])</f>
        <v>12</v>
      </c>
    </row>
    <row r="73" spans="1:8" x14ac:dyDescent="0.35">
      <c r="A73" t="s">
        <v>248</v>
      </c>
      <c r="B73" t="s">
        <v>140</v>
      </c>
      <c r="C73" t="s">
        <v>357</v>
      </c>
      <c r="D73" t="s">
        <v>167</v>
      </c>
      <c r="E73">
        <v>801</v>
      </c>
      <c r="F73" t="s">
        <v>26</v>
      </c>
      <c r="G73" t="s">
        <v>429</v>
      </c>
      <c r="H73">
        <f>DAY(Tbl_plant_outputs[[#This Row],[output_date]])</f>
        <v>12</v>
      </c>
    </row>
    <row r="74" spans="1:8" x14ac:dyDescent="0.35">
      <c r="A74" t="s">
        <v>249</v>
      </c>
      <c r="B74" t="s">
        <v>138</v>
      </c>
      <c r="C74" t="s">
        <v>39</v>
      </c>
      <c r="D74" t="s">
        <v>40</v>
      </c>
      <c r="E74">
        <v>531</v>
      </c>
      <c r="F74" t="s">
        <v>26</v>
      </c>
      <c r="G74" t="s">
        <v>430</v>
      </c>
      <c r="H74">
        <f>DAY(Tbl_plant_outputs[[#This Row],[output_date]])</f>
        <v>13</v>
      </c>
    </row>
    <row r="75" spans="1:8" x14ac:dyDescent="0.35">
      <c r="A75" t="s">
        <v>250</v>
      </c>
      <c r="B75" t="s">
        <v>138</v>
      </c>
      <c r="C75" t="s">
        <v>39</v>
      </c>
      <c r="D75" t="s">
        <v>168</v>
      </c>
      <c r="E75">
        <v>1125</v>
      </c>
      <c r="F75" t="s">
        <v>26</v>
      </c>
      <c r="G75" t="s">
        <v>431</v>
      </c>
      <c r="H75">
        <f>DAY(Tbl_plant_outputs[[#This Row],[output_date]])</f>
        <v>13</v>
      </c>
    </row>
    <row r="76" spans="1:8" x14ac:dyDescent="0.35">
      <c r="A76" t="s">
        <v>251</v>
      </c>
      <c r="B76" t="s">
        <v>138</v>
      </c>
      <c r="C76" t="s">
        <v>39</v>
      </c>
      <c r="D76" t="s">
        <v>167</v>
      </c>
      <c r="E76">
        <v>1131</v>
      </c>
      <c r="F76" t="s">
        <v>26</v>
      </c>
      <c r="G76" t="s">
        <v>432</v>
      </c>
      <c r="H76">
        <f>DAY(Tbl_plant_outputs[[#This Row],[output_date]])</f>
        <v>13</v>
      </c>
    </row>
    <row r="77" spans="1:8" x14ac:dyDescent="0.35">
      <c r="A77" t="s">
        <v>252</v>
      </c>
      <c r="B77" t="s">
        <v>138</v>
      </c>
      <c r="C77" t="s">
        <v>357</v>
      </c>
      <c r="D77" t="s">
        <v>40</v>
      </c>
      <c r="E77">
        <v>549</v>
      </c>
      <c r="F77" t="s">
        <v>26</v>
      </c>
      <c r="G77" t="s">
        <v>433</v>
      </c>
      <c r="H77">
        <f>DAY(Tbl_plant_outputs[[#This Row],[output_date]])</f>
        <v>13</v>
      </c>
    </row>
    <row r="78" spans="1:8" x14ac:dyDescent="0.35">
      <c r="A78" t="s">
        <v>253</v>
      </c>
      <c r="B78" t="s">
        <v>138</v>
      </c>
      <c r="C78" t="s">
        <v>357</v>
      </c>
      <c r="D78" t="s">
        <v>168</v>
      </c>
      <c r="E78">
        <v>1104</v>
      </c>
      <c r="F78" t="s">
        <v>26</v>
      </c>
      <c r="G78" t="s">
        <v>434</v>
      </c>
      <c r="H78">
        <f>DAY(Tbl_plant_outputs[[#This Row],[output_date]])</f>
        <v>13</v>
      </c>
    </row>
    <row r="79" spans="1:8" x14ac:dyDescent="0.35">
      <c r="A79" t="s">
        <v>254</v>
      </c>
      <c r="B79" t="s">
        <v>138</v>
      </c>
      <c r="C79" t="s">
        <v>357</v>
      </c>
      <c r="D79" t="s">
        <v>167</v>
      </c>
      <c r="E79">
        <v>1298</v>
      </c>
      <c r="F79" t="s">
        <v>26</v>
      </c>
      <c r="G79" t="s">
        <v>435</v>
      </c>
      <c r="H79">
        <f>DAY(Tbl_plant_outputs[[#This Row],[output_date]])</f>
        <v>13</v>
      </c>
    </row>
    <row r="80" spans="1:8" x14ac:dyDescent="0.35">
      <c r="A80" t="s">
        <v>255</v>
      </c>
      <c r="B80" t="s">
        <v>147</v>
      </c>
      <c r="C80" t="s">
        <v>39</v>
      </c>
      <c r="D80" t="s">
        <v>40</v>
      </c>
      <c r="E80">
        <v>1391</v>
      </c>
      <c r="F80" t="s">
        <v>26</v>
      </c>
      <c r="G80" t="s">
        <v>436</v>
      </c>
      <c r="H80">
        <f>DAY(Tbl_plant_outputs[[#This Row],[output_date]])</f>
        <v>14</v>
      </c>
    </row>
    <row r="81" spans="1:8" x14ac:dyDescent="0.35">
      <c r="A81" t="s">
        <v>256</v>
      </c>
      <c r="B81" t="s">
        <v>147</v>
      </c>
      <c r="C81" t="s">
        <v>39</v>
      </c>
      <c r="D81" t="s">
        <v>168</v>
      </c>
      <c r="E81">
        <v>633</v>
      </c>
      <c r="F81" t="s">
        <v>26</v>
      </c>
      <c r="G81" t="s">
        <v>437</v>
      </c>
      <c r="H81">
        <f>DAY(Tbl_plant_outputs[[#This Row],[output_date]])</f>
        <v>14</v>
      </c>
    </row>
    <row r="82" spans="1:8" x14ac:dyDescent="0.35">
      <c r="A82" t="s">
        <v>257</v>
      </c>
      <c r="B82" t="s">
        <v>147</v>
      </c>
      <c r="C82" t="s">
        <v>39</v>
      </c>
      <c r="D82" t="s">
        <v>167</v>
      </c>
      <c r="E82">
        <v>529</v>
      </c>
      <c r="F82" t="s">
        <v>26</v>
      </c>
      <c r="G82" t="s">
        <v>438</v>
      </c>
      <c r="H82">
        <f>DAY(Tbl_plant_outputs[[#This Row],[output_date]])</f>
        <v>14</v>
      </c>
    </row>
    <row r="83" spans="1:8" x14ac:dyDescent="0.35">
      <c r="A83" t="s">
        <v>258</v>
      </c>
      <c r="B83" t="s">
        <v>147</v>
      </c>
      <c r="C83" t="s">
        <v>357</v>
      </c>
      <c r="D83" t="s">
        <v>40</v>
      </c>
      <c r="E83">
        <v>1092</v>
      </c>
      <c r="F83" t="s">
        <v>26</v>
      </c>
      <c r="G83" t="s">
        <v>439</v>
      </c>
      <c r="H83">
        <f>DAY(Tbl_plant_outputs[[#This Row],[output_date]])</f>
        <v>14</v>
      </c>
    </row>
    <row r="84" spans="1:8" x14ac:dyDescent="0.35">
      <c r="A84" t="s">
        <v>259</v>
      </c>
      <c r="B84" t="s">
        <v>147</v>
      </c>
      <c r="C84" t="s">
        <v>357</v>
      </c>
      <c r="D84" t="s">
        <v>168</v>
      </c>
      <c r="E84">
        <v>1136</v>
      </c>
      <c r="F84" t="s">
        <v>26</v>
      </c>
      <c r="G84" t="s">
        <v>440</v>
      </c>
      <c r="H84">
        <f>DAY(Tbl_plant_outputs[[#This Row],[output_date]])</f>
        <v>14</v>
      </c>
    </row>
    <row r="85" spans="1:8" x14ac:dyDescent="0.35">
      <c r="A85" t="s">
        <v>260</v>
      </c>
      <c r="B85" t="s">
        <v>147</v>
      </c>
      <c r="C85" t="s">
        <v>357</v>
      </c>
      <c r="D85" t="s">
        <v>167</v>
      </c>
      <c r="E85">
        <v>1022</v>
      </c>
      <c r="F85" t="s">
        <v>26</v>
      </c>
      <c r="G85" t="s">
        <v>441</v>
      </c>
      <c r="H85">
        <f>DAY(Tbl_plant_outputs[[#This Row],[output_date]])</f>
        <v>14</v>
      </c>
    </row>
    <row r="86" spans="1:8" x14ac:dyDescent="0.35">
      <c r="A86" t="s">
        <v>261</v>
      </c>
      <c r="B86" t="s">
        <v>149</v>
      </c>
      <c r="C86" t="s">
        <v>39</v>
      </c>
      <c r="D86" t="s">
        <v>40</v>
      </c>
      <c r="E86">
        <v>1422</v>
      </c>
      <c r="F86" t="s">
        <v>26</v>
      </c>
      <c r="G86" t="s">
        <v>442</v>
      </c>
      <c r="H86">
        <f>DAY(Tbl_plant_outputs[[#This Row],[output_date]])</f>
        <v>15</v>
      </c>
    </row>
    <row r="87" spans="1:8" x14ac:dyDescent="0.35">
      <c r="A87" t="s">
        <v>262</v>
      </c>
      <c r="B87" t="s">
        <v>149</v>
      </c>
      <c r="C87" t="s">
        <v>39</v>
      </c>
      <c r="D87" t="s">
        <v>168</v>
      </c>
      <c r="E87">
        <v>1084</v>
      </c>
      <c r="F87" t="s">
        <v>26</v>
      </c>
      <c r="G87" t="s">
        <v>443</v>
      </c>
      <c r="H87">
        <f>DAY(Tbl_plant_outputs[[#This Row],[output_date]])</f>
        <v>15</v>
      </c>
    </row>
    <row r="88" spans="1:8" x14ac:dyDescent="0.35">
      <c r="A88" t="s">
        <v>263</v>
      </c>
      <c r="B88" t="s">
        <v>149</v>
      </c>
      <c r="C88" t="s">
        <v>39</v>
      </c>
      <c r="D88" t="s">
        <v>167</v>
      </c>
      <c r="E88">
        <v>714</v>
      </c>
      <c r="F88" t="s">
        <v>26</v>
      </c>
      <c r="G88" t="s">
        <v>444</v>
      </c>
      <c r="H88">
        <f>DAY(Tbl_plant_outputs[[#This Row],[output_date]])</f>
        <v>15</v>
      </c>
    </row>
    <row r="89" spans="1:8" x14ac:dyDescent="0.35">
      <c r="A89" t="s">
        <v>264</v>
      </c>
      <c r="B89" t="s">
        <v>149</v>
      </c>
      <c r="C89" t="s">
        <v>357</v>
      </c>
      <c r="D89" t="s">
        <v>40</v>
      </c>
      <c r="E89">
        <v>1064</v>
      </c>
      <c r="F89" t="s">
        <v>26</v>
      </c>
      <c r="G89" t="s">
        <v>445</v>
      </c>
      <c r="H89">
        <f>DAY(Tbl_plant_outputs[[#This Row],[output_date]])</f>
        <v>15</v>
      </c>
    </row>
    <row r="90" spans="1:8" x14ac:dyDescent="0.35">
      <c r="A90" t="s">
        <v>265</v>
      </c>
      <c r="B90" t="s">
        <v>149</v>
      </c>
      <c r="C90" t="s">
        <v>357</v>
      </c>
      <c r="D90" t="s">
        <v>168</v>
      </c>
      <c r="E90">
        <v>927</v>
      </c>
      <c r="F90" t="s">
        <v>26</v>
      </c>
      <c r="G90" t="s">
        <v>446</v>
      </c>
      <c r="H90">
        <f>DAY(Tbl_plant_outputs[[#This Row],[output_date]])</f>
        <v>15</v>
      </c>
    </row>
    <row r="91" spans="1:8" x14ac:dyDescent="0.35">
      <c r="A91" t="s">
        <v>266</v>
      </c>
      <c r="B91" t="s">
        <v>149</v>
      </c>
      <c r="C91" t="s">
        <v>357</v>
      </c>
      <c r="D91" t="s">
        <v>167</v>
      </c>
      <c r="E91">
        <v>848</v>
      </c>
      <c r="F91" t="s">
        <v>26</v>
      </c>
      <c r="G91" t="s">
        <v>447</v>
      </c>
      <c r="H91">
        <f>DAY(Tbl_plant_outputs[[#This Row],[output_date]])</f>
        <v>15</v>
      </c>
    </row>
    <row r="92" spans="1:8" x14ac:dyDescent="0.35">
      <c r="A92" t="s">
        <v>267</v>
      </c>
      <c r="B92" t="s">
        <v>152</v>
      </c>
      <c r="C92" t="s">
        <v>39</v>
      </c>
      <c r="D92" t="s">
        <v>40</v>
      </c>
      <c r="E92">
        <v>1024</v>
      </c>
      <c r="F92" t="s">
        <v>26</v>
      </c>
      <c r="G92" t="s">
        <v>448</v>
      </c>
      <c r="H92">
        <f>DAY(Tbl_plant_outputs[[#This Row],[output_date]])</f>
        <v>16</v>
      </c>
    </row>
    <row r="93" spans="1:8" x14ac:dyDescent="0.35">
      <c r="A93" t="s">
        <v>268</v>
      </c>
      <c r="B93" t="s">
        <v>152</v>
      </c>
      <c r="C93" t="s">
        <v>39</v>
      </c>
      <c r="D93" t="s">
        <v>168</v>
      </c>
      <c r="E93">
        <v>840</v>
      </c>
      <c r="F93" t="s">
        <v>26</v>
      </c>
      <c r="G93" t="s">
        <v>449</v>
      </c>
      <c r="H93">
        <f>DAY(Tbl_plant_outputs[[#This Row],[output_date]])</f>
        <v>16</v>
      </c>
    </row>
    <row r="94" spans="1:8" x14ac:dyDescent="0.35">
      <c r="A94" t="s">
        <v>269</v>
      </c>
      <c r="B94" t="s">
        <v>152</v>
      </c>
      <c r="C94" t="s">
        <v>39</v>
      </c>
      <c r="D94" t="s">
        <v>167</v>
      </c>
      <c r="E94">
        <v>1139</v>
      </c>
      <c r="F94" t="s">
        <v>26</v>
      </c>
      <c r="G94" t="s">
        <v>450</v>
      </c>
      <c r="H94">
        <f>DAY(Tbl_plant_outputs[[#This Row],[output_date]])</f>
        <v>16</v>
      </c>
    </row>
    <row r="95" spans="1:8" x14ac:dyDescent="0.35">
      <c r="A95" t="s">
        <v>270</v>
      </c>
      <c r="B95" t="s">
        <v>152</v>
      </c>
      <c r="C95" t="s">
        <v>357</v>
      </c>
      <c r="D95" t="s">
        <v>40</v>
      </c>
      <c r="E95">
        <v>701</v>
      </c>
      <c r="F95" t="s">
        <v>26</v>
      </c>
      <c r="G95" t="s">
        <v>451</v>
      </c>
      <c r="H95">
        <f>DAY(Tbl_plant_outputs[[#This Row],[output_date]])</f>
        <v>16</v>
      </c>
    </row>
    <row r="96" spans="1:8" x14ac:dyDescent="0.35">
      <c r="A96" t="s">
        <v>271</v>
      </c>
      <c r="B96" t="s">
        <v>152</v>
      </c>
      <c r="C96" t="s">
        <v>357</v>
      </c>
      <c r="D96" t="s">
        <v>168</v>
      </c>
      <c r="E96">
        <v>913</v>
      </c>
      <c r="F96" t="s">
        <v>26</v>
      </c>
      <c r="G96" t="s">
        <v>452</v>
      </c>
      <c r="H96">
        <f>DAY(Tbl_plant_outputs[[#This Row],[output_date]])</f>
        <v>16</v>
      </c>
    </row>
    <row r="97" spans="1:8" x14ac:dyDescent="0.35">
      <c r="A97" t="s">
        <v>272</v>
      </c>
      <c r="B97" t="s">
        <v>152</v>
      </c>
      <c r="C97" t="s">
        <v>357</v>
      </c>
      <c r="D97" t="s">
        <v>167</v>
      </c>
      <c r="E97">
        <v>1189</v>
      </c>
      <c r="F97" t="s">
        <v>26</v>
      </c>
      <c r="G97" t="s">
        <v>453</v>
      </c>
      <c r="H97">
        <f>DAY(Tbl_plant_outputs[[#This Row],[output_date]])</f>
        <v>16</v>
      </c>
    </row>
    <row r="98" spans="1:8" x14ac:dyDescent="0.35">
      <c r="A98" t="s">
        <v>273</v>
      </c>
      <c r="B98" t="s">
        <v>134</v>
      </c>
      <c r="C98" t="s">
        <v>39</v>
      </c>
      <c r="D98" t="s">
        <v>40</v>
      </c>
      <c r="E98">
        <v>1363</v>
      </c>
      <c r="F98" t="s">
        <v>26</v>
      </c>
      <c r="G98" t="s">
        <v>454</v>
      </c>
      <c r="H98">
        <f>DAY(Tbl_plant_outputs[[#This Row],[output_date]])</f>
        <v>17</v>
      </c>
    </row>
    <row r="99" spans="1:8" x14ac:dyDescent="0.35">
      <c r="A99" t="s">
        <v>274</v>
      </c>
      <c r="B99" t="s">
        <v>134</v>
      </c>
      <c r="C99" t="s">
        <v>39</v>
      </c>
      <c r="D99" t="s">
        <v>168</v>
      </c>
      <c r="E99">
        <v>873</v>
      </c>
      <c r="F99" t="s">
        <v>26</v>
      </c>
      <c r="G99" t="s">
        <v>455</v>
      </c>
      <c r="H99">
        <f>DAY(Tbl_plant_outputs[[#This Row],[output_date]])</f>
        <v>17</v>
      </c>
    </row>
    <row r="100" spans="1:8" x14ac:dyDescent="0.35">
      <c r="A100" t="s">
        <v>275</v>
      </c>
      <c r="B100" t="s">
        <v>134</v>
      </c>
      <c r="C100" t="s">
        <v>39</v>
      </c>
      <c r="D100" t="s">
        <v>167</v>
      </c>
      <c r="E100">
        <v>513</v>
      </c>
      <c r="F100" t="s">
        <v>26</v>
      </c>
      <c r="G100" t="s">
        <v>456</v>
      </c>
      <c r="H100">
        <f>DAY(Tbl_plant_outputs[[#This Row],[output_date]])</f>
        <v>17</v>
      </c>
    </row>
    <row r="101" spans="1:8" x14ac:dyDescent="0.35">
      <c r="A101" t="s">
        <v>276</v>
      </c>
      <c r="B101" t="s">
        <v>134</v>
      </c>
      <c r="C101" t="s">
        <v>357</v>
      </c>
      <c r="D101" t="s">
        <v>40</v>
      </c>
      <c r="E101">
        <v>621</v>
      </c>
      <c r="F101" t="s">
        <v>26</v>
      </c>
      <c r="G101" t="s">
        <v>457</v>
      </c>
      <c r="H101">
        <f>DAY(Tbl_plant_outputs[[#This Row],[output_date]])</f>
        <v>17</v>
      </c>
    </row>
    <row r="102" spans="1:8" x14ac:dyDescent="0.35">
      <c r="A102" t="s">
        <v>277</v>
      </c>
      <c r="B102" t="s">
        <v>134</v>
      </c>
      <c r="C102" t="s">
        <v>357</v>
      </c>
      <c r="D102" t="s">
        <v>168</v>
      </c>
      <c r="E102">
        <v>1407</v>
      </c>
      <c r="F102" t="s">
        <v>26</v>
      </c>
      <c r="G102" t="s">
        <v>458</v>
      </c>
      <c r="H102">
        <f>DAY(Tbl_plant_outputs[[#This Row],[output_date]])</f>
        <v>17</v>
      </c>
    </row>
    <row r="103" spans="1:8" x14ac:dyDescent="0.35">
      <c r="A103" t="s">
        <v>278</v>
      </c>
      <c r="B103" t="s">
        <v>134</v>
      </c>
      <c r="C103" t="s">
        <v>357</v>
      </c>
      <c r="D103" t="s">
        <v>167</v>
      </c>
      <c r="E103">
        <v>1246</v>
      </c>
      <c r="F103" t="s">
        <v>26</v>
      </c>
      <c r="G103" t="s">
        <v>459</v>
      </c>
      <c r="H103">
        <f>DAY(Tbl_plant_outputs[[#This Row],[output_date]])</f>
        <v>17</v>
      </c>
    </row>
    <row r="104" spans="1:8" x14ac:dyDescent="0.35">
      <c r="A104" t="s">
        <v>279</v>
      </c>
      <c r="B104" t="s">
        <v>155</v>
      </c>
      <c r="C104" t="s">
        <v>39</v>
      </c>
      <c r="D104" t="s">
        <v>40</v>
      </c>
      <c r="E104">
        <v>1208</v>
      </c>
      <c r="F104" t="s">
        <v>26</v>
      </c>
      <c r="G104" t="s">
        <v>460</v>
      </c>
      <c r="H104">
        <f>DAY(Tbl_plant_outputs[[#This Row],[output_date]])</f>
        <v>18</v>
      </c>
    </row>
    <row r="105" spans="1:8" x14ac:dyDescent="0.35">
      <c r="A105" t="s">
        <v>280</v>
      </c>
      <c r="B105" t="s">
        <v>155</v>
      </c>
      <c r="C105" t="s">
        <v>39</v>
      </c>
      <c r="D105" t="s">
        <v>168</v>
      </c>
      <c r="E105">
        <v>878</v>
      </c>
      <c r="F105" t="s">
        <v>26</v>
      </c>
      <c r="G105" t="s">
        <v>461</v>
      </c>
      <c r="H105">
        <f>DAY(Tbl_plant_outputs[[#This Row],[output_date]])</f>
        <v>18</v>
      </c>
    </row>
    <row r="106" spans="1:8" x14ac:dyDescent="0.35">
      <c r="A106" t="s">
        <v>281</v>
      </c>
      <c r="B106" t="s">
        <v>155</v>
      </c>
      <c r="C106" t="s">
        <v>39</v>
      </c>
      <c r="D106" t="s">
        <v>167</v>
      </c>
      <c r="E106">
        <v>1399</v>
      </c>
      <c r="F106" t="s">
        <v>26</v>
      </c>
      <c r="G106" t="s">
        <v>462</v>
      </c>
      <c r="H106">
        <f>DAY(Tbl_plant_outputs[[#This Row],[output_date]])</f>
        <v>18</v>
      </c>
    </row>
    <row r="107" spans="1:8" x14ac:dyDescent="0.35">
      <c r="A107" t="s">
        <v>282</v>
      </c>
      <c r="B107" t="s">
        <v>155</v>
      </c>
      <c r="C107" t="s">
        <v>357</v>
      </c>
      <c r="D107" t="s">
        <v>40</v>
      </c>
      <c r="E107">
        <v>1193</v>
      </c>
      <c r="F107" t="s">
        <v>26</v>
      </c>
      <c r="G107" t="s">
        <v>463</v>
      </c>
      <c r="H107">
        <f>DAY(Tbl_plant_outputs[[#This Row],[output_date]])</f>
        <v>18</v>
      </c>
    </row>
    <row r="108" spans="1:8" x14ac:dyDescent="0.35">
      <c r="A108" t="s">
        <v>283</v>
      </c>
      <c r="B108" t="s">
        <v>155</v>
      </c>
      <c r="C108" t="s">
        <v>357</v>
      </c>
      <c r="D108" t="s">
        <v>168</v>
      </c>
      <c r="E108">
        <v>640</v>
      </c>
      <c r="F108" t="s">
        <v>26</v>
      </c>
      <c r="G108" t="s">
        <v>464</v>
      </c>
      <c r="H108">
        <f>DAY(Tbl_plant_outputs[[#This Row],[output_date]])</f>
        <v>18</v>
      </c>
    </row>
    <row r="109" spans="1:8" x14ac:dyDescent="0.35">
      <c r="A109" t="s">
        <v>284</v>
      </c>
      <c r="B109" t="s">
        <v>155</v>
      </c>
      <c r="C109" t="s">
        <v>357</v>
      </c>
      <c r="D109" t="s">
        <v>167</v>
      </c>
      <c r="E109">
        <v>628</v>
      </c>
      <c r="F109" t="s">
        <v>26</v>
      </c>
      <c r="G109" t="s">
        <v>465</v>
      </c>
      <c r="H109">
        <f>DAY(Tbl_plant_outputs[[#This Row],[output_date]])</f>
        <v>18</v>
      </c>
    </row>
    <row r="110" spans="1:8" x14ac:dyDescent="0.35">
      <c r="A110" t="s">
        <v>285</v>
      </c>
      <c r="B110" t="s">
        <v>139</v>
      </c>
      <c r="C110" t="s">
        <v>39</v>
      </c>
      <c r="D110" t="s">
        <v>40</v>
      </c>
      <c r="E110">
        <v>760</v>
      </c>
      <c r="F110" t="s">
        <v>26</v>
      </c>
      <c r="G110" t="s">
        <v>466</v>
      </c>
      <c r="H110">
        <f>DAY(Tbl_plant_outputs[[#This Row],[output_date]])</f>
        <v>19</v>
      </c>
    </row>
    <row r="111" spans="1:8" x14ac:dyDescent="0.35">
      <c r="A111" t="s">
        <v>286</v>
      </c>
      <c r="B111" t="s">
        <v>139</v>
      </c>
      <c r="C111" t="s">
        <v>39</v>
      </c>
      <c r="D111" t="s">
        <v>168</v>
      </c>
      <c r="E111">
        <v>1288</v>
      </c>
      <c r="F111" t="s">
        <v>26</v>
      </c>
      <c r="G111" t="s">
        <v>467</v>
      </c>
      <c r="H111">
        <f>DAY(Tbl_plant_outputs[[#This Row],[output_date]])</f>
        <v>19</v>
      </c>
    </row>
    <row r="112" spans="1:8" x14ac:dyDescent="0.35">
      <c r="A112" t="s">
        <v>287</v>
      </c>
      <c r="B112" t="s">
        <v>139</v>
      </c>
      <c r="C112" t="s">
        <v>39</v>
      </c>
      <c r="D112" t="s">
        <v>167</v>
      </c>
      <c r="E112">
        <v>1466</v>
      </c>
      <c r="F112" t="s">
        <v>26</v>
      </c>
      <c r="G112" t="s">
        <v>468</v>
      </c>
      <c r="H112">
        <f>DAY(Tbl_plant_outputs[[#This Row],[output_date]])</f>
        <v>19</v>
      </c>
    </row>
    <row r="113" spans="1:8" x14ac:dyDescent="0.35">
      <c r="A113" t="s">
        <v>288</v>
      </c>
      <c r="B113" t="s">
        <v>139</v>
      </c>
      <c r="C113" t="s">
        <v>357</v>
      </c>
      <c r="D113" t="s">
        <v>40</v>
      </c>
      <c r="E113">
        <v>1446</v>
      </c>
      <c r="F113" t="s">
        <v>26</v>
      </c>
      <c r="G113" t="s">
        <v>469</v>
      </c>
      <c r="H113">
        <f>DAY(Tbl_plant_outputs[[#This Row],[output_date]])</f>
        <v>19</v>
      </c>
    </row>
    <row r="114" spans="1:8" x14ac:dyDescent="0.35">
      <c r="A114" t="s">
        <v>289</v>
      </c>
      <c r="B114" t="s">
        <v>139</v>
      </c>
      <c r="C114" t="s">
        <v>357</v>
      </c>
      <c r="D114" t="s">
        <v>168</v>
      </c>
      <c r="E114">
        <v>538</v>
      </c>
      <c r="F114" t="s">
        <v>26</v>
      </c>
      <c r="G114" t="s">
        <v>470</v>
      </c>
      <c r="H114">
        <f>DAY(Tbl_plant_outputs[[#This Row],[output_date]])</f>
        <v>19</v>
      </c>
    </row>
    <row r="115" spans="1:8" x14ac:dyDescent="0.35">
      <c r="A115" t="s">
        <v>290</v>
      </c>
      <c r="B115" t="s">
        <v>139</v>
      </c>
      <c r="C115" t="s">
        <v>357</v>
      </c>
      <c r="D115" t="s">
        <v>167</v>
      </c>
      <c r="E115">
        <v>1451</v>
      </c>
      <c r="F115" t="s">
        <v>26</v>
      </c>
      <c r="G115" t="s">
        <v>471</v>
      </c>
      <c r="H115">
        <f>DAY(Tbl_plant_outputs[[#This Row],[output_date]])</f>
        <v>19</v>
      </c>
    </row>
    <row r="116" spans="1:8" x14ac:dyDescent="0.35">
      <c r="A116" t="s">
        <v>291</v>
      </c>
      <c r="B116" t="s">
        <v>146</v>
      </c>
      <c r="C116" t="s">
        <v>39</v>
      </c>
      <c r="D116" t="s">
        <v>40</v>
      </c>
      <c r="E116">
        <v>794</v>
      </c>
      <c r="F116" t="s">
        <v>26</v>
      </c>
      <c r="G116" t="s">
        <v>472</v>
      </c>
      <c r="H116">
        <f>DAY(Tbl_plant_outputs[[#This Row],[output_date]])</f>
        <v>20</v>
      </c>
    </row>
    <row r="117" spans="1:8" x14ac:dyDescent="0.35">
      <c r="A117" t="s">
        <v>292</v>
      </c>
      <c r="B117" t="s">
        <v>146</v>
      </c>
      <c r="C117" t="s">
        <v>39</v>
      </c>
      <c r="D117" t="s">
        <v>168</v>
      </c>
      <c r="E117">
        <v>1165</v>
      </c>
      <c r="F117" t="s">
        <v>26</v>
      </c>
      <c r="G117" t="s">
        <v>473</v>
      </c>
      <c r="H117">
        <f>DAY(Tbl_plant_outputs[[#This Row],[output_date]])</f>
        <v>20</v>
      </c>
    </row>
    <row r="118" spans="1:8" x14ac:dyDescent="0.35">
      <c r="A118" t="s">
        <v>293</v>
      </c>
      <c r="B118" t="s">
        <v>146</v>
      </c>
      <c r="C118" t="s">
        <v>39</v>
      </c>
      <c r="D118" t="s">
        <v>167</v>
      </c>
      <c r="E118">
        <v>1133</v>
      </c>
      <c r="F118" t="s">
        <v>26</v>
      </c>
      <c r="G118" t="s">
        <v>474</v>
      </c>
      <c r="H118">
        <f>DAY(Tbl_plant_outputs[[#This Row],[output_date]])</f>
        <v>20</v>
      </c>
    </row>
    <row r="119" spans="1:8" x14ac:dyDescent="0.35">
      <c r="A119" t="s">
        <v>294</v>
      </c>
      <c r="B119" t="s">
        <v>146</v>
      </c>
      <c r="C119" t="s">
        <v>357</v>
      </c>
      <c r="D119" t="s">
        <v>40</v>
      </c>
      <c r="E119">
        <v>1113</v>
      </c>
      <c r="F119" t="s">
        <v>26</v>
      </c>
      <c r="G119" t="s">
        <v>475</v>
      </c>
      <c r="H119">
        <f>DAY(Tbl_plant_outputs[[#This Row],[output_date]])</f>
        <v>20</v>
      </c>
    </row>
    <row r="120" spans="1:8" x14ac:dyDescent="0.35">
      <c r="A120" t="s">
        <v>295</v>
      </c>
      <c r="B120" t="s">
        <v>146</v>
      </c>
      <c r="C120" t="s">
        <v>357</v>
      </c>
      <c r="D120" t="s">
        <v>168</v>
      </c>
      <c r="E120">
        <v>1372</v>
      </c>
      <c r="F120" t="s">
        <v>26</v>
      </c>
      <c r="G120" t="s">
        <v>476</v>
      </c>
      <c r="H120">
        <f>DAY(Tbl_plant_outputs[[#This Row],[output_date]])</f>
        <v>20</v>
      </c>
    </row>
    <row r="121" spans="1:8" x14ac:dyDescent="0.35">
      <c r="A121" t="s">
        <v>296</v>
      </c>
      <c r="B121" t="s">
        <v>146</v>
      </c>
      <c r="C121" t="s">
        <v>357</v>
      </c>
      <c r="D121" t="s">
        <v>167</v>
      </c>
      <c r="E121">
        <v>618</v>
      </c>
      <c r="F121" t="s">
        <v>26</v>
      </c>
      <c r="G121" t="s">
        <v>477</v>
      </c>
      <c r="H121">
        <f>DAY(Tbl_plant_outputs[[#This Row],[output_date]])</f>
        <v>20</v>
      </c>
    </row>
    <row r="122" spans="1:8" x14ac:dyDescent="0.35">
      <c r="A122" t="s">
        <v>297</v>
      </c>
      <c r="B122" t="s">
        <v>143</v>
      </c>
      <c r="C122" t="s">
        <v>39</v>
      </c>
      <c r="D122" t="s">
        <v>40</v>
      </c>
      <c r="E122">
        <v>1198</v>
      </c>
      <c r="F122" t="s">
        <v>26</v>
      </c>
      <c r="G122" t="s">
        <v>478</v>
      </c>
      <c r="H122">
        <f>DAY(Tbl_plant_outputs[[#This Row],[output_date]])</f>
        <v>21</v>
      </c>
    </row>
    <row r="123" spans="1:8" x14ac:dyDescent="0.35">
      <c r="A123" t="s">
        <v>298</v>
      </c>
      <c r="B123" t="s">
        <v>143</v>
      </c>
      <c r="C123" t="s">
        <v>39</v>
      </c>
      <c r="D123" t="s">
        <v>168</v>
      </c>
      <c r="E123">
        <v>1139</v>
      </c>
      <c r="F123" t="s">
        <v>26</v>
      </c>
      <c r="G123" t="s">
        <v>479</v>
      </c>
      <c r="H123">
        <f>DAY(Tbl_plant_outputs[[#This Row],[output_date]])</f>
        <v>21</v>
      </c>
    </row>
    <row r="124" spans="1:8" x14ac:dyDescent="0.35">
      <c r="A124" t="s">
        <v>299</v>
      </c>
      <c r="B124" t="s">
        <v>143</v>
      </c>
      <c r="C124" t="s">
        <v>39</v>
      </c>
      <c r="D124" t="s">
        <v>167</v>
      </c>
      <c r="E124">
        <v>1494</v>
      </c>
      <c r="F124" t="s">
        <v>26</v>
      </c>
      <c r="G124" t="s">
        <v>480</v>
      </c>
      <c r="H124">
        <f>DAY(Tbl_plant_outputs[[#This Row],[output_date]])</f>
        <v>21</v>
      </c>
    </row>
    <row r="125" spans="1:8" x14ac:dyDescent="0.35">
      <c r="A125" t="s">
        <v>300</v>
      </c>
      <c r="B125" t="s">
        <v>143</v>
      </c>
      <c r="C125" t="s">
        <v>357</v>
      </c>
      <c r="D125" t="s">
        <v>40</v>
      </c>
      <c r="E125">
        <v>780</v>
      </c>
      <c r="F125" t="s">
        <v>26</v>
      </c>
      <c r="G125" t="s">
        <v>481</v>
      </c>
      <c r="H125">
        <f>DAY(Tbl_plant_outputs[[#This Row],[output_date]])</f>
        <v>21</v>
      </c>
    </row>
    <row r="126" spans="1:8" x14ac:dyDescent="0.35">
      <c r="A126" t="s">
        <v>301</v>
      </c>
      <c r="B126" t="s">
        <v>143</v>
      </c>
      <c r="C126" t="s">
        <v>357</v>
      </c>
      <c r="D126" t="s">
        <v>168</v>
      </c>
      <c r="E126">
        <v>1463</v>
      </c>
      <c r="F126" t="s">
        <v>26</v>
      </c>
      <c r="G126" t="s">
        <v>482</v>
      </c>
      <c r="H126">
        <f>DAY(Tbl_plant_outputs[[#This Row],[output_date]])</f>
        <v>21</v>
      </c>
    </row>
    <row r="127" spans="1:8" x14ac:dyDescent="0.35">
      <c r="A127" t="s">
        <v>302</v>
      </c>
      <c r="B127" t="s">
        <v>143</v>
      </c>
      <c r="C127" t="s">
        <v>357</v>
      </c>
      <c r="D127" t="s">
        <v>167</v>
      </c>
      <c r="E127">
        <v>677</v>
      </c>
      <c r="F127" t="s">
        <v>26</v>
      </c>
      <c r="G127" t="s">
        <v>483</v>
      </c>
      <c r="H127">
        <f>DAY(Tbl_plant_outputs[[#This Row],[output_date]])</f>
        <v>21</v>
      </c>
    </row>
    <row r="128" spans="1:8" x14ac:dyDescent="0.35">
      <c r="A128" t="s">
        <v>303</v>
      </c>
      <c r="B128" t="s">
        <v>154</v>
      </c>
      <c r="C128" t="s">
        <v>39</v>
      </c>
      <c r="D128" t="s">
        <v>40</v>
      </c>
      <c r="E128">
        <v>1196</v>
      </c>
      <c r="F128" t="s">
        <v>26</v>
      </c>
      <c r="G128" t="s">
        <v>484</v>
      </c>
      <c r="H128">
        <f>DAY(Tbl_plant_outputs[[#This Row],[output_date]])</f>
        <v>22</v>
      </c>
    </row>
    <row r="129" spans="1:8" x14ac:dyDescent="0.35">
      <c r="A129" t="s">
        <v>304</v>
      </c>
      <c r="B129" t="s">
        <v>154</v>
      </c>
      <c r="C129" t="s">
        <v>39</v>
      </c>
      <c r="D129" t="s">
        <v>168</v>
      </c>
      <c r="E129">
        <v>1076</v>
      </c>
      <c r="F129" t="s">
        <v>26</v>
      </c>
      <c r="G129" t="s">
        <v>485</v>
      </c>
      <c r="H129">
        <f>DAY(Tbl_plant_outputs[[#This Row],[output_date]])</f>
        <v>22</v>
      </c>
    </row>
    <row r="130" spans="1:8" x14ac:dyDescent="0.35">
      <c r="A130" t="s">
        <v>305</v>
      </c>
      <c r="B130" t="s">
        <v>154</v>
      </c>
      <c r="C130" t="s">
        <v>39</v>
      </c>
      <c r="D130" t="s">
        <v>167</v>
      </c>
      <c r="E130">
        <v>735</v>
      </c>
      <c r="F130" t="s">
        <v>26</v>
      </c>
      <c r="G130" t="s">
        <v>486</v>
      </c>
      <c r="H130">
        <f>DAY(Tbl_plant_outputs[[#This Row],[output_date]])</f>
        <v>22</v>
      </c>
    </row>
    <row r="131" spans="1:8" x14ac:dyDescent="0.35">
      <c r="A131" t="s">
        <v>306</v>
      </c>
      <c r="B131" t="s">
        <v>154</v>
      </c>
      <c r="C131" t="s">
        <v>357</v>
      </c>
      <c r="D131" t="s">
        <v>40</v>
      </c>
      <c r="E131">
        <v>1049</v>
      </c>
      <c r="F131" t="s">
        <v>26</v>
      </c>
      <c r="G131" t="s">
        <v>487</v>
      </c>
      <c r="H131">
        <f>DAY(Tbl_plant_outputs[[#This Row],[output_date]])</f>
        <v>22</v>
      </c>
    </row>
    <row r="132" spans="1:8" x14ac:dyDescent="0.35">
      <c r="A132" t="s">
        <v>307</v>
      </c>
      <c r="B132" t="s">
        <v>154</v>
      </c>
      <c r="C132" t="s">
        <v>357</v>
      </c>
      <c r="D132" t="s">
        <v>168</v>
      </c>
      <c r="E132">
        <v>515</v>
      </c>
      <c r="F132" t="s">
        <v>26</v>
      </c>
      <c r="G132" t="s">
        <v>488</v>
      </c>
      <c r="H132">
        <f>DAY(Tbl_plant_outputs[[#This Row],[output_date]])</f>
        <v>22</v>
      </c>
    </row>
    <row r="133" spans="1:8" x14ac:dyDescent="0.35">
      <c r="A133" t="s">
        <v>308</v>
      </c>
      <c r="B133" t="s">
        <v>154</v>
      </c>
      <c r="C133" t="s">
        <v>357</v>
      </c>
      <c r="D133" t="s">
        <v>167</v>
      </c>
      <c r="E133">
        <v>1430</v>
      </c>
      <c r="F133" t="s">
        <v>26</v>
      </c>
      <c r="G133" t="s">
        <v>489</v>
      </c>
      <c r="H133">
        <f>DAY(Tbl_plant_outputs[[#This Row],[output_date]])</f>
        <v>22</v>
      </c>
    </row>
    <row r="134" spans="1:8" x14ac:dyDescent="0.35">
      <c r="A134" t="s">
        <v>309</v>
      </c>
      <c r="B134" t="s">
        <v>161</v>
      </c>
      <c r="C134" t="s">
        <v>39</v>
      </c>
      <c r="D134" t="s">
        <v>40</v>
      </c>
      <c r="E134">
        <v>631</v>
      </c>
      <c r="F134" t="s">
        <v>26</v>
      </c>
      <c r="G134" t="s">
        <v>490</v>
      </c>
      <c r="H134">
        <f>DAY(Tbl_plant_outputs[[#This Row],[output_date]])</f>
        <v>23</v>
      </c>
    </row>
    <row r="135" spans="1:8" x14ac:dyDescent="0.35">
      <c r="A135" t="s">
        <v>310</v>
      </c>
      <c r="B135" t="s">
        <v>161</v>
      </c>
      <c r="C135" t="s">
        <v>39</v>
      </c>
      <c r="D135" t="s">
        <v>168</v>
      </c>
      <c r="E135">
        <v>703</v>
      </c>
      <c r="F135" t="s">
        <v>26</v>
      </c>
      <c r="G135" t="s">
        <v>491</v>
      </c>
      <c r="H135">
        <f>DAY(Tbl_plant_outputs[[#This Row],[output_date]])</f>
        <v>23</v>
      </c>
    </row>
    <row r="136" spans="1:8" x14ac:dyDescent="0.35">
      <c r="A136" t="s">
        <v>311</v>
      </c>
      <c r="B136" t="s">
        <v>161</v>
      </c>
      <c r="C136" t="s">
        <v>39</v>
      </c>
      <c r="D136" t="s">
        <v>167</v>
      </c>
      <c r="E136">
        <v>696</v>
      </c>
      <c r="F136" t="s">
        <v>26</v>
      </c>
      <c r="G136" t="s">
        <v>492</v>
      </c>
      <c r="H136">
        <f>DAY(Tbl_plant_outputs[[#This Row],[output_date]])</f>
        <v>23</v>
      </c>
    </row>
    <row r="137" spans="1:8" x14ac:dyDescent="0.35">
      <c r="A137" t="s">
        <v>312</v>
      </c>
      <c r="B137" t="s">
        <v>161</v>
      </c>
      <c r="C137" t="s">
        <v>357</v>
      </c>
      <c r="D137" t="s">
        <v>40</v>
      </c>
      <c r="E137">
        <v>649</v>
      </c>
      <c r="F137" t="s">
        <v>26</v>
      </c>
      <c r="G137" t="s">
        <v>493</v>
      </c>
      <c r="H137">
        <f>DAY(Tbl_plant_outputs[[#This Row],[output_date]])</f>
        <v>23</v>
      </c>
    </row>
    <row r="138" spans="1:8" x14ac:dyDescent="0.35">
      <c r="A138" t="s">
        <v>313</v>
      </c>
      <c r="B138" t="s">
        <v>161</v>
      </c>
      <c r="C138" t="s">
        <v>357</v>
      </c>
      <c r="D138" t="s">
        <v>168</v>
      </c>
      <c r="E138">
        <v>1087</v>
      </c>
      <c r="F138" t="s">
        <v>26</v>
      </c>
      <c r="G138" t="s">
        <v>494</v>
      </c>
      <c r="H138">
        <f>DAY(Tbl_plant_outputs[[#This Row],[output_date]])</f>
        <v>23</v>
      </c>
    </row>
    <row r="139" spans="1:8" x14ac:dyDescent="0.35">
      <c r="A139" t="s">
        <v>314</v>
      </c>
      <c r="B139" t="s">
        <v>161</v>
      </c>
      <c r="C139" t="s">
        <v>357</v>
      </c>
      <c r="D139" t="s">
        <v>167</v>
      </c>
      <c r="E139">
        <v>1373</v>
      </c>
      <c r="F139" t="s">
        <v>26</v>
      </c>
      <c r="G139" t="s">
        <v>495</v>
      </c>
      <c r="H139">
        <f>DAY(Tbl_plant_outputs[[#This Row],[output_date]])</f>
        <v>23</v>
      </c>
    </row>
    <row r="140" spans="1:8" x14ac:dyDescent="0.35">
      <c r="A140" t="s">
        <v>315</v>
      </c>
      <c r="B140" t="s">
        <v>156</v>
      </c>
      <c r="C140" t="s">
        <v>39</v>
      </c>
      <c r="D140" t="s">
        <v>40</v>
      </c>
      <c r="E140">
        <v>1176</v>
      </c>
      <c r="F140" t="s">
        <v>26</v>
      </c>
      <c r="G140" t="s">
        <v>496</v>
      </c>
      <c r="H140">
        <f>DAY(Tbl_plant_outputs[[#This Row],[output_date]])</f>
        <v>24</v>
      </c>
    </row>
    <row r="141" spans="1:8" x14ac:dyDescent="0.35">
      <c r="A141" t="s">
        <v>316</v>
      </c>
      <c r="B141" t="s">
        <v>156</v>
      </c>
      <c r="C141" t="s">
        <v>39</v>
      </c>
      <c r="D141" t="s">
        <v>168</v>
      </c>
      <c r="E141">
        <v>509</v>
      </c>
      <c r="F141" t="s">
        <v>26</v>
      </c>
      <c r="G141" t="s">
        <v>497</v>
      </c>
      <c r="H141">
        <f>DAY(Tbl_plant_outputs[[#This Row],[output_date]])</f>
        <v>24</v>
      </c>
    </row>
    <row r="142" spans="1:8" x14ac:dyDescent="0.35">
      <c r="A142" t="s">
        <v>317</v>
      </c>
      <c r="B142" t="s">
        <v>156</v>
      </c>
      <c r="C142" t="s">
        <v>39</v>
      </c>
      <c r="D142" t="s">
        <v>167</v>
      </c>
      <c r="E142">
        <v>652</v>
      </c>
      <c r="F142" t="s">
        <v>26</v>
      </c>
      <c r="G142" t="s">
        <v>498</v>
      </c>
      <c r="H142">
        <f>DAY(Tbl_plant_outputs[[#This Row],[output_date]])</f>
        <v>24</v>
      </c>
    </row>
    <row r="143" spans="1:8" x14ac:dyDescent="0.35">
      <c r="A143" t="s">
        <v>318</v>
      </c>
      <c r="B143" t="s">
        <v>156</v>
      </c>
      <c r="C143" t="s">
        <v>357</v>
      </c>
      <c r="D143" t="s">
        <v>40</v>
      </c>
      <c r="E143">
        <v>1129</v>
      </c>
      <c r="F143" t="s">
        <v>26</v>
      </c>
      <c r="G143" t="s">
        <v>499</v>
      </c>
      <c r="H143">
        <f>DAY(Tbl_plant_outputs[[#This Row],[output_date]])</f>
        <v>24</v>
      </c>
    </row>
    <row r="144" spans="1:8" x14ac:dyDescent="0.35">
      <c r="A144" t="s">
        <v>319</v>
      </c>
      <c r="B144" t="s">
        <v>156</v>
      </c>
      <c r="C144" t="s">
        <v>357</v>
      </c>
      <c r="D144" t="s">
        <v>168</v>
      </c>
      <c r="E144">
        <v>1005</v>
      </c>
      <c r="F144" t="s">
        <v>26</v>
      </c>
      <c r="G144" t="s">
        <v>500</v>
      </c>
      <c r="H144">
        <f>DAY(Tbl_plant_outputs[[#This Row],[output_date]])</f>
        <v>24</v>
      </c>
    </row>
    <row r="145" spans="1:8" x14ac:dyDescent="0.35">
      <c r="A145" t="s">
        <v>320</v>
      </c>
      <c r="B145" t="s">
        <v>156</v>
      </c>
      <c r="C145" t="s">
        <v>357</v>
      </c>
      <c r="D145" t="s">
        <v>167</v>
      </c>
      <c r="E145">
        <v>1477</v>
      </c>
      <c r="F145" t="s">
        <v>26</v>
      </c>
      <c r="G145" t="s">
        <v>501</v>
      </c>
      <c r="H145">
        <f>DAY(Tbl_plant_outputs[[#This Row],[output_date]])</f>
        <v>24</v>
      </c>
    </row>
    <row r="146" spans="1:8" x14ac:dyDescent="0.35">
      <c r="A146" t="s">
        <v>321</v>
      </c>
      <c r="B146" t="s">
        <v>158</v>
      </c>
      <c r="C146" t="s">
        <v>39</v>
      </c>
      <c r="D146" t="s">
        <v>40</v>
      </c>
      <c r="E146">
        <v>628</v>
      </c>
      <c r="F146" t="s">
        <v>26</v>
      </c>
      <c r="G146" t="s">
        <v>502</v>
      </c>
      <c r="H146">
        <f>DAY(Tbl_plant_outputs[[#This Row],[output_date]])</f>
        <v>25</v>
      </c>
    </row>
    <row r="147" spans="1:8" x14ac:dyDescent="0.35">
      <c r="A147" t="s">
        <v>322</v>
      </c>
      <c r="B147" t="s">
        <v>158</v>
      </c>
      <c r="C147" t="s">
        <v>39</v>
      </c>
      <c r="D147" t="s">
        <v>168</v>
      </c>
      <c r="E147">
        <v>1319</v>
      </c>
      <c r="F147" t="s">
        <v>26</v>
      </c>
      <c r="G147" t="s">
        <v>503</v>
      </c>
      <c r="H147">
        <f>DAY(Tbl_plant_outputs[[#This Row],[output_date]])</f>
        <v>25</v>
      </c>
    </row>
    <row r="148" spans="1:8" x14ac:dyDescent="0.35">
      <c r="A148" t="s">
        <v>323</v>
      </c>
      <c r="B148" t="s">
        <v>158</v>
      </c>
      <c r="C148" t="s">
        <v>39</v>
      </c>
      <c r="D148" t="s">
        <v>167</v>
      </c>
      <c r="E148">
        <v>1009</v>
      </c>
      <c r="F148" t="s">
        <v>26</v>
      </c>
      <c r="G148" t="s">
        <v>504</v>
      </c>
      <c r="H148">
        <f>DAY(Tbl_plant_outputs[[#This Row],[output_date]])</f>
        <v>25</v>
      </c>
    </row>
    <row r="149" spans="1:8" x14ac:dyDescent="0.35">
      <c r="A149" t="s">
        <v>324</v>
      </c>
      <c r="B149" t="s">
        <v>158</v>
      </c>
      <c r="C149" t="s">
        <v>357</v>
      </c>
      <c r="D149" t="s">
        <v>40</v>
      </c>
      <c r="E149">
        <v>1177</v>
      </c>
      <c r="F149" t="s">
        <v>26</v>
      </c>
      <c r="G149" t="s">
        <v>505</v>
      </c>
      <c r="H149">
        <f>DAY(Tbl_plant_outputs[[#This Row],[output_date]])</f>
        <v>25</v>
      </c>
    </row>
    <row r="150" spans="1:8" x14ac:dyDescent="0.35">
      <c r="A150" t="s">
        <v>325</v>
      </c>
      <c r="B150" t="s">
        <v>158</v>
      </c>
      <c r="C150" t="s">
        <v>357</v>
      </c>
      <c r="D150" t="s">
        <v>168</v>
      </c>
      <c r="E150">
        <v>988</v>
      </c>
      <c r="F150" t="s">
        <v>26</v>
      </c>
      <c r="G150" t="s">
        <v>506</v>
      </c>
      <c r="H150">
        <f>DAY(Tbl_plant_outputs[[#This Row],[output_date]])</f>
        <v>25</v>
      </c>
    </row>
    <row r="151" spans="1:8" x14ac:dyDescent="0.35">
      <c r="A151" t="s">
        <v>326</v>
      </c>
      <c r="B151" t="s">
        <v>158</v>
      </c>
      <c r="C151" t="s">
        <v>357</v>
      </c>
      <c r="D151" t="s">
        <v>167</v>
      </c>
      <c r="E151">
        <v>969</v>
      </c>
      <c r="F151" t="s">
        <v>26</v>
      </c>
      <c r="G151" t="s">
        <v>507</v>
      </c>
      <c r="H151">
        <f>DAY(Tbl_plant_outputs[[#This Row],[output_date]])</f>
        <v>25</v>
      </c>
    </row>
    <row r="152" spans="1:8" x14ac:dyDescent="0.35">
      <c r="A152" t="s">
        <v>327</v>
      </c>
      <c r="B152" t="s">
        <v>157</v>
      </c>
      <c r="C152" t="s">
        <v>39</v>
      </c>
      <c r="D152" t="s">
        <v>40</v>
      </c>
      <c r="E152">
        <v>1288</v>
      </c>
      <c r="F152" t="s">
        <v>26</v>
      </c>
      <c r="G152" t="s">
        <v>508</v>
      </c>
      <c r="H152">
        <f>DAY(Tbl_plant_outputs[[#This Row],[output_date]])</f>
        <v>26</v>
      </c>
    </row>
    <row r="153" spans="1:8" x14ac:dyDescent="0.35">
      <c r="A153" t="s">
        <v>328</v>
      </c>
      <c r="B153" t="s">
        <v>157</v>
      </c>
      <c r="C153" t="s">
        <v>39</v>
      </c>
      <c r="D153" t="s">
        <v>168</v>
      </c>
      <c r="E153">
        <v>1134</v>
      </c>
      <c r="F153" t="s">
        <v>26</v>
      </c>
      <c r="G153" t="s">
        <v>509</v>
      </c>
      <c r="H153">
        <f>DAY(Tbl_plant_outputs[[#This Row],[output_date]])</f>
        <v>26</v>
      </c>
    </row>
    <row r="154" spans="1:8" x14ac:dyDescent="0.35">
      <c r="A154" t="s">
        <v>329</v>
      </c>
      <c r="B154" t="s">
        <v>157</v>
      </c>
      <c r="C154" t="s">
        <v>39</v>
      </c>
      <c r="D154" t="s">
        <v>167</v>
      </c>
      <c r="E154">
        <v>1027</v>
      </c>
      <c r="F154" t="s">
        <v>26</v>
      </c>
      <c r="G154" t="s">
        <v>510</v>
      </c>
      <c r="H154">
        <f>DAY(Tbl_plant_outputs[[#This Row],[output_date]])</f>
        <v>26</v>
      </c>
    </row>
    <row r="155" spans="1:8" x14ac:dyDescent="0.35">
      <c r="A155" t="s">
        <v>330</v>
      </c>
      <c r="B155" t="s">
        <v>157</v>
      </c>
      <c r="C155" t="s">
        <v>357</v>
      </c>
      <c r="D155" t="s">
        <v>40</v>
      </c>
      <c r="E155">
        <v>1415</v>
      </c>
      <c r="F155" t="s">
        <v>26</v>
      </c>
      <c r="G155" t="s">
        <v>511</v>
      </c>
      <c r="H155">
        <f>DAY(Tbl_plant_outputs[[#This Row],[output_date]])</f>
        <v>26</v>
      </c>
    </row>
    <row r="156" spans="1:8" x14ac:dyDescent="0.35">
      <c r="A156" t="s">
        <v>331</v>
      </c>
      <c r="B156" t="s">
        <v>157</v>
      </c>
      <c r="C156" t="s">
        <v>357</v>
      </c>
      <c r="D156" t="s">
        <v>168</v>
      </c>
      <c r="E156">
        <v>969</v>
      </c>
      <c r="F156" t="s">
        <v>26</v>
      </c>
      <c r="G156" t="s">
        <v>512</v>
      </c>
      <c r="H156">
        <f>DAY(Tbl_plant_outputs[[#This Row],[output_date]])</f>
        <v>26</v>
      </c>
    </row>
    <row r="157" spans="1:8" x14ac:dyDescent="0.35">
      <c r="A157" t="s">
        <v>332</v>
      </c>
      <c r="B157" t="s">
        <v>157</v>
      </c>
      <c r="C157" t="s">
        <v>357</v>
      </c>
      <c r="D157" t="s">
        <v>167</v>
      </c>
      <c r="E157">
        <v>1330</v>
      </c>
      <c r="F157" t="s">
        <v>26</v>
      </c>
      <c r="G157" t="s">
        <v>513</v>
      </c>
      <c r="H157">
        <f>DAY(Tbl_plant_outputs[[#This Row],[output_date]])</f>
        <v>26</v>
      </c>
    </row>
    <row r="158" spans="1:8" x14ac:dyDescent="0.35">
      <c r="A158" t="s">
        <v>333</v>
      </c>
      <c r="B158" t="s">
        <v>160</v>
      </c>
      <c r="C158" t="s">
        <v>39</v>
      </c>
      <c r="D158" t="s">
        <v>40</v>
      </c>
      <c r="E158">
        <v>1141</v>
      </c>
      <c r="F158" t="s">
        <v>26</v>
      </c>
      <c r="G158" t="s">
        <v>514</v>
      </c>
      <c r="H158">
        <f>DAY(Tbl_plant_outputs[[#This Row],[output_date]])</f>
        <v>27</v>
      </c>
    </row>
    <row r="159" spans="1:8" x14ac:dyDescent="0.35">
      <c r="A159" t="s">
        <v>334</v>
      </c>
      <c r="B159" t="s">
        <v>160</v>
      </c>
      <c r="C159" t="s">
        <v>39</v>
      </c>
      <c r="D159" t="s">
        <v>168</v>
      </c>
      <c r="E159">
        <v>624</v>
      </c>
      <c r="F159" t="s">
        <v>26</v>
      </c>
      <c r="G159" t="s">
        <v>515</v>
      </c>
      <c r="H159">
        <f>DAY(Tbl_plant_outputs[[#This Row],[output_date]])</f>
        <v>27</v>
      </c>
    </row>
    <row r="160" spans="1:8" x14ac:dyDescent="0.35">
      <c r="A160" t="s">
        <v>335</v>
      </c>
      <c r="B160" t="s">
        <v>160</v>
      </c>
      <c r="C160" t="s">
        <v>39</v>
      </c>
      <c r="D160" t="s">
        <v>167</v>
      </c>
      <c r="E160">
        <v>1490</v>
      </c>
      <c r="F160" t="s">
        <v>26</v>
      </c>
      <c r="G160" t="s">
        <v>516</v>
      </c>
      <c r="H160">
        <f>DAY(Tbl_plant_outputs[[#This Row],[output_date]])</f>
        <v>27</v>
      </c>
    </row>
    <row r="161" spans="1:8" x14ac:dyDescent="0.35">
      <c r="A161" t="s">
        <v>336</v>
      </c>
      <c r="B161" t="s">
        <v>160</v>
      </c>
      <c r="C161" t="s">
        <v>357</v>
      </c>
      <c r="D161" t="s">
        <v>40</v>
      </c>
      <c r="E161">
        <v>707</v>
      </c>
      <c r="F161" t="s">
        <v>26</v>
      </c>
      <c r="G161" t="s">
        <v>517</v>
      </c>
      <c r="H161">
        <f>DAY(Tbl_plant_outputs[[#This Row],[output_date]])</f>
        <v>27</v>
      </c>
    </row>
    <row r="162" spans="1:8" x14ac:dyDescent="0.35">
      <c r="A162" t="s">
        <v>337</v>
      </c>
      <c r="B162" t="s">
        <v>160</v>
      </c>
      <c r="C162" t="s">
        <v>357</v>
      </c>
      <c r="D162" t="s">
        <v>168</v>
      </c>
      <c r="E162">
        <v>1198</v>
      </c>
      <c r="F162" t="s">
        <v>26</v>
      </c>
      <c r="G162" t="s">
        <v>518</v>
      </c>
      <c r="H162">
        <f>DAY(Tbl_plant_outputs[[#This Row],[output_date]])</f>
        <v>27</v>
      </c>
    </row>
    <row r="163" spans="1:8" x14ac:dyDescent="0.35">
      <c r="A163" t="s">
        <v>338</v>
      </c>
      <c r="B163" t="s">
        <v>160</v>
      </c>
      <c r="C163" t="s">
        <v>357</v>
      </c>
      <c r="D163" t="s">
        <v>167</v>
      </c>
      <c r="E163">
        <v>1081</v>
      </c>
      <c r="F163" t="s">
        <v>26</v>
      </c>
      <c r="G163" t="s">
        <v>519</v>
      </c>
      <c r="H163">
        <f>DAY(Tbl_plant_outputs[[#This Row],[output_date]])</f>
        <v>27</v>
      </c>
    </row>
    <row r="164" spans="1:8" x14ac:dyDescent="0.35">
      <c r="A164" t="s">
        <v>339</v>
      </c>
      <c r="B164" t="s">
        <v>159</v>
      </c>
      <c r="C164" t="s">
        <v>39</v>
      </c>
      <c r="D164" t="s">
        <v>40</v>
      </c>
      <c r="E164">
        <v>677</v>
      </c>
      <c r="F164" t="s">
        <v>26</v>
      </c>
      <c r="G164" t="s">
        <v>520</v>
      </c>
      <c r="H164">
        <f>DAY(Tbl_plant_outputs[[#This Row],[output_date]])</f>
        <v>28</v>
      </c>
    </row>
    <row r="165" spans="1:8" x14ac:dyDescent="0.35">
      <c r="A165" t="s">
        <v>340</v>
      </c>
      <c r="B165" t="s">
        <v>159</v>
      </c>
      <c r="C165" t="s">
        <v>39</v>
      </c>
      <c r="D165" t="s">
        <v>168</v>
      </c>
      <c r="E165">
        <v>817</v>
      </c>
      <c r="F165" t="s">
        <v>26</v>
      </c>
      <c r="G165" t="s">
        <v>521</v>
      </c>
      <c r="H165">
        <f>DAY(Tbl_plant_outputs[[#This Row],[output_date]])</f>
        <v>28</v>
      </c>
    </row>
    <row r="166" spans="1:8" x14ac:dyDescent="0.35">
      <c r="A166" t="s">
        <v>341</v>
      </c>
      <c r="B166" t="s">
        <v>159</v>
      </c>
      <c r="C166" t="s">
        <v>39</v>
      </c>
      <c r="D166" t="s">
        <v>167</v>
      </c>
      <c r="E166">
        <v>550</v>
      </c>
      <c r="F166" t="s">
        <v>26</v>
      </c>
      <c r="G166" t="s">
        <v>522</v>
      </c>
      <c r="H166">
        <f>DAY(Tbl_plant_outputs[[#This Row],[output_date]])</f>
        <v>28</v>
      </c>
    </row>
    <row r="167" spans="1:8" x14ac:dyDescent="0.35">
      <c r="A167" t="s">
        <v>342</v>
      </c>
      <c r="B167" t="s">
        <v>159</v>
      </c>
      <c r="C167" t="s">
        <v>357</v>
      </c>
      <c r="D167" t="s">
        <v>40</v>
      </c>
      <c r="E167">
        <v>1309</v>
      </c>
      <c r="F167" t="s">
        <v>26</v>
      </c>
      <c r="G167" t="s">
        <v>523</v>
      </c>
      <c r="H167">
        <f>DAY(Tbl_plant_outputs[[#This Row],[output_date]])</f>
        <v>28</v>
      </c>
    </row>
    <row r="168" spans="1:8" x14ac:dyDescent="0.35">
      <c r="A168" t="s">
        <v>343</v>
      </c>
      <c r="B168" t="s">
        <v>159</v>
      </c>
      <c r="C168" t="s">
        <v>357</v>
      </c>
      <c r="D168" t="s">
        <v>168</v>
      </c>
      <c r="E168">
        <v>685</v>
      </c>
      <c r="F168" t="s">
        <v>26</v>
      </c>
      <c r="G168" t="s">
        <v>524</v>
      </c>
      <c r="H168">
        <f>DAY(Tbl_plant_outputs[[#This Row],[output_date]])</f>
        <v>28</v>
      </c>
    </row>
    <row r="169" spans="1:8" x14ac:dyDescent="0.35">
      <c r="A169" t="s">
        <v>344</v>
      </c>
      <c r="B169" t="s">
        <v>159</v>
      </c>
      <c r="C169" t="s">
        <v>357</v>
      </c>
      <c r="D169" t="s">
        <v>167</v>
      </c>
      <c r="E169">
        <v>1200</v>
      </c>
      <c r="F169" t="s">
        <v>26</v>
      </c>
      <c r="G169" t="s">
        <v>525</v>
      </c>
      <c r="H169">
        <f>DAY(Tbl_plant_outputs[[#This Row],[output_date]])</f>
        <v>28</v>
      </c>
    </row>
    <row r="170" spans="1:8" x14ac:dyDescent="0.35">
      <c r="A170" t="s">
        <v>345</v>
      </c>
      <c r="B170" t="s">
        <v>173</v>
      </c>
      <c r="C170" t="s">
        <v>39</v>
      </c>
      <c r="D170" t="s">
        <v>40</v>
      </c>
      <c r="E170">
        <v>1178</v>
      </c>
      <c r="F170" t="s">
        <v>26</v>
      </c>
      <c r="G170" t="s">
        <v>526</v>
      </c>
      <c r="H170">
        <f>DAY(Tbl_plant_outputs[[#This Row],[output_date]])</f>
        <v>29</v>
      </c>
    </row>
    <row r="171" spans="1:8" x14ac:dyDescent="0.35">
      <c r="A171" t="s">
        <v>346</v>
      </c>
      <c r="B171" t="s">
        <v>173</v>
      </c>
      <c r="C171" t="s">
        <v>39</v>
      </c>
      <c r="D171" t="s">
        <v>168</v>
      </c>
      <c r="E171">
        <v>1255</v>
      </c>
      <c r="F171" t="s">
        <v>26</v>
      </c>
      <c r="G171" t="s">
        <v>527</v>
      </c>
      <c r="H171">
        <f>DAY(Tbl_plant_outputs[[#This Row],[output_date]])</f>
        <v>29</v>
      </c>
    </row>
    <row r="172" spans="1:8" x14ac:dyDescent="0.35">
      <c r="A172" t="s">
        <v>347</v>
      </c>
      <c r="B172" t="s">
        <v>173</v>
      </c>
      <c r="C172" t="s">
        <v>39</v>
      </c>
      <c r="D172" t="s">
        <v>167</v>
      </c>
      <c r="E172">
        <v>1079</v>
      </c>
      <c r="F172" t="s">
        <v>26</v>
      </c>
      <c r="G172" t="s">
        <v>528</v>
      </c>
      <c r="H172">
        <f>DAY(Tbl_plant_outputs[[#This Row],[output_date]])</f>
        <v>29</v>
      </c>
    </row>
    <row r="173" spans="1:8" x14ac:dyDescent="0.35">
      <c r="A173" t="s">
        <v>348</v>
      </c>
      <c r="B173" t="s">
        <v>173</v>
      </c>
      <c r="C173" t="s">
        <v>357</v>
      </c>
      <c r="D173" t="s">
        <v>40</v>
      </c>
      <c r="E173">
        <v>551</v>
      </c>
      <c r="F173" t="s">
        <v>26</v>
      </c>
      <c r="G173" t="s">
        <v>529</v>
      </c>
      <c r="H173">
        <f>DAY(Tbl_plant_outputs[[#This Row],[output_date]])</f>
        <v>29</v>
      </c>
    </row>
    <row r="174" spans="1:8" x14ac:dyDescent="0.35">
      <c r="A174" t="s">
        <v>349</v>
      </c>
      <c r="B174" t="s">
        <v>173</v>
      </c>
      <c r="C174" t="s">
        <v>357</v>
      </c>
      <c r="D174" t="s">
        <v>168</v>
      </c>
      <c r="E174">
        <v>759</v>
      </c>
      <c r="F174" t="s">
        <v>26</v>
      </c>
      <c r="G174" t="s">
        <v>530</v>
      </c>
      <c r="H174">
        <f>DAY(Tbl_plant_outputs[[#This Row],[output_date]])</f>
        <v>29</v>
      </c>
    </row>
    <row r="175" spans="1:8" x14ac:dyDescent="0.35">
      <c r="A175" t="s">
        <v>350</v>
      </c>
      <c r="B175" t="s">
        <v>173</v>
      </c>
      <c r="C175" t="s">
        <v>357</v>
      </c>
      <c r="D175" t="s">
        <v>167</v>
      </c>
      <c r="E175">
        <v>1227</v>
      </c>
      <c r="F175" t="s">
        <v>26</v>
      </c>
      <c r="G175" t="s">
        <v>531</v>
      </c>
      <c r="H175">
        <f>DAY(Tbl_plant_outputs[[#This Row],[output_date]])</f>
        <v>29</v>
      </c>
    </row>
    <row r="176" spans="1:8" x14ac:dyDescent="0.35">
      <c r="A176" t="s">
        <v>351</v>
      </c>
      <c r="B176" t="s">
        <v>172</v>
      </c>
      <c r="C176" t="s">
        <v>39</v>
      </c>
      <c r="D176" t="s">
        <v>40</v>
      </c>
      <c r="E176">
        <v>964</v>
      </c>
      <c r="F176" t="s">
        <v>26</v>
      </c>
      <c r="G176" t="s">
        <v>532</v>
      </c>
      <c r="H176">
        <f>DAY(Tbl_plant_outputs[[#This Row],[output_date]])</f>
        <v>30</v>
      </c>
    </row>
    <row r="177" spans="1:8" x14ac:dyDescent="0.35">
      <c r="A177" t="s">
        <v>352</v>
      </c>
      <c r="B177" t="s">
        <v>172</v>
      </c>
      <c r="C177" t="s">
        <v>39</v>
      </c>
      <c r="D177" t="s">
        <v>168</v>
      </c>
      <c r="E177">
        <v>757</v>
      </c>
      <c r="F177" t="s">
        <v>26</v>
      </c>
      <c r="G177" t="s">
        <v>533</v>
      </c>
      <c r="H177">
        <f>DAY(Tbl_plant_outputs[[#This Row],[output_date]])</f>
        <v>30</v>
      </c>
    </row>
    <row r="178" spans="1:8" x14ac:dyDescent="0.35">
      <c r="A178" t="s">
        <v>353</v>
      </c>
      <c r="B178" t="s">
        <v>172</v>
      </c>
      <c r="C178" t="s">
        <v>39</v>
      </c>
      <c r="D178" t="s">
        <v>167</v>
      </c>
      <c r="E178">
        <v>913</v>
      </c>
      <c r="F178" t="s">
        <v>26</v>
      </c>
      <c r="G178" t="s">
        <v>534</v>
      </c>
      <c r="H178">
        <f>DAY(Tbl_plant_outputs[[#This Row],[output_date]])</f>
        <v>30</v>
      </c>
    </row>
    <row r="179" spans="1:8" x14ac:dyDescent="0.35">
      <c r="A179" t="s">
        <v>354</v>
      </c>
      <c r="B179" t="s">
        <v>172</v>
      </c>
      <c r="C179" t="s">
        <v>357</v>
      </c>
      <c r="D179" t="s">
        <v>40</v>
      </c>
      <c r="E179">
        <v>1485</v>
      </c>
      <c r="F179" t="s">
        <v>26</v>
      </c>
      <c r="G179" t="s">
        <v>535</v>
      </c>
      <c r="H179">
        <f>DAY(Tbl_plant_outputs[[#This Row],[output_date]])</f>
        <v>30</v>
      </c>
    </row>
    <row r="180" spans="1:8" x14ac:dyDescent="0.35">
      <c r="A180" t="s">
        <v>355</v>
      </c>
      <c r="B180" t="s">
        <v>172</v>
      </c>
      <c r="C180" t="s">
        <v>357</v>
      </c>
      <c r="D180" t="s">
        <v>168</v>
      </c>
      <c r="E180">
        <v>531</v>
      </c>
      <c r="F180" t="s">
        <v>26</v>
      </c>
      <c r="G180" t="s">
        <v>536</v>
      </c>
      <c r="H180">
        <f>DAY(Tbl_plant_outputs[[#This Row],[output_date]])</f>
        <v>30</v>
      </c>
    </row>
    <row r="181" spans="1:8" x14ac:dyDescent="0.35">
      <c r="A181" t="s">
        <v>356</v>
      </c>
      <c r="B181" t="s">
        <v>172</v>
      </c>
      <c r="C181" t="s">
        <v>357</v>
      </c>
      <c r="D181" t="s">
        <v>167</v>
      </c>
      <c r="E181">
        <v>1285</v>
      </c>
      <c r="F181" t="s">
        <v>26</v>
      </c>
      <c r="G181" t="s">
        <v>537</v>
      </c>
      <c r="H181">
        <f>DAY(Tbl_plant_outputs[[#This Row],[output_date]])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lists</vt:lpstr>
      <vt:lpstr>sales_orders</vt:lpstr>
      <vt:lpstr>sales_order_lines</vt:lpstr>
      <vt:lpstr>plant_outputs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2025-09-20T15:54:05Z</dcterms:created>
  <dcterms:modified xsi:type="dcterms:W3CDTF">2025-11-25T12:31:40Z</dcterms:modified>
</cp:coreProperties>
</file>